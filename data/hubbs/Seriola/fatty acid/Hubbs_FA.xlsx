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alysoncls/Desktop/R_Data/Raman Seriola/"/>
    </mc:Choice>
  </mc:AlternateContent>
  <xr:revisionPtr revIDLastSave="0" documentId="8_{4A97474C-CE26-464E-913A-5749FA7A7F11}" xr6:coauthVersionLast="47" xr6:coauthVersionMax="47" xr10:uidLastSave="{00000000-0000-0000-0000-000000000000}"/>
  <bookViews>
    <workbookView xWindow="11320" yWindow="1700" windowWidth="31880" windowHeight="17180" firstSheet="2" xr2:uid="{3C3D7E6A-C6E4-264B-A08A-56059F33DCDA}"/>
  </bookViews>
  <sheets>
    <sheet name="Summary" sheetId="2" r:id="rId1"/>
    <sheet name="All" sheetId="1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3" l="1"/>
  <c r="N289" i="3"/>
  <c r="M4" i="3"/>
  <c r="M3" i="3"/>
  <c r="M2" i="3"/>
  <c r="O265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3" i="3"/>
  <c r="O24" i="3"/>
  <c r="O25" i="3"/>
  <c r="O26" i="3"/>
  <c r="O27" i="3"/>
  <c r="O28" i="3"/>
  <c r="O29" i="3"/>
  <c r="O30" i="3"/>
  <c r="O31" i="3"/>
  <c r="O32" i="3"/>
  <c r="O33" i="3"/>
  <c r="O22" i="3"/>
  <c r="O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1" i="3"/>
  <c r="O20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C290" i="3"/>
  <c r="D290" i="3"/>
  <c r="E290" i="3"/>
  <c r="F290" i="3"/>
  <c r="G290" i="3"/>
  <c r="H290" i="3"/>
  <c r="I290" i="3"/>
  <c r="J290" i="3"/>
  <c r="K290" i="3"/>
  <c r="L290" i="3"/>
  <c r="M290" i="3"/>
  <c r="P290" i="3"/>
  <c r="Q290" i="3"/>
  <c r="O290" i="3" l="1"/>
  <c r="N290" i="3"/>
</calcChain>
</file>

<file path=xl/sharedStrings.xml><?xml version="1.0" encoding="utf-8"?>
<sst xmlns="http://schemas.openxmlformats.org/spreadsheetml/2006/main" count="1798" uniqueCount="325">
  <si>
    <t>ID</t>
  </si>
  <si>
    <t>Class</t>
  </si>
  <si>
    <t>SFA</t>
  </si>
  <si>
    <t>MUFA</t>
  </si>
  <si>
    <t>DHA</t>
  </si>
  <si>
    <t>n3PUFA</t>
  </si>
  <si>
    <t>n6PUFA</t>
  </si>
  <si>
    <t>PUFA</t>
  </si>
  <si>
    <t>001-1</t>
  </si>
  <si>
    <t>Spring 2016</t>
  </si>
  <si>
    <t>001-2</t>
  </si>
  <si>
    <t>001-3</t>
  </si>
  <si>
    <t>002-1</t>
  </si>
  <si>
    <t>002-2</t>
  </si>
  <si>
    <t>002-3</t>
  </si>
  <si>
    <t>015-1</t>
  </si>
  <si>
    <t>Spring 2018</t>
  </si>
  <si>
    <t>015-2</t>
  </si>
  <si>
    <t>015-3</t>
  </si>
  <si>
    <t>016-1</t>
  </si>
  <si>
    <t>016-2</t>
  </si>
  <si>
    <t>016-3</t>
  </si>
  <si>
    <t>017-1</t>
  </si>
  <si>
    <t>017-2</t>
  </si>
  <si>
    <t>017-3</t>
  </si>
  <si>
    <t>018-1</t>
  </si>
  <si>
    <t>018-2</t>
  </si>
  <si>
    <t>018-3</t>
  </si>
  <si>
    <t>019-1</t>
  </si>
  <si>
    <t>019-2</t>
  </si>
  <si>
    <t>019-3</t>
  </si>
  <si>
    <t>020-1</t>
  </si>
  <si>
    <t>020-2</t>
  </si>
  <si>
    <t>020-3</t>
  </si>
  <si>
    <t>021-1</t>
  </si>
  <si>
    <t>021-2</t>
  </si>
  <si>
    <t>021-3</t>
  </si>
  <si>
    <t>030-1</t>
  </si>
  <si>
    <t>030-2</t>
  </si>
  <si>
    <t>030-3</t>
  </si>
  <si>
    <t>032-1</t>
  </si>
  <si>
    <t>032-2</t>
  </si>
  <si>
    <t>032-3</t>
  </si>
  <si>
    <t>034-1</t>
  </si>
  <si>
    <t>034-2</t>
  </si>
  <si>
    <t>034-3</t>
  </si>
  <si>
    <t>036-1</t>
  </si>
  <si>
    <t>Spring 2017</t>
  </si>
  <si>
    <t>036-2</t>
  </si>
  <si>
    <t>036-3</t>
  </si>
  <si>
    <t>037-1</t>
  </si>
  <si>
    <t>037-2</t>
  </si>
  <si>
    <t>037-3</t>
  </si>
  <si>
    <t>038-1</t>
  </si>
  <si>
    <t>038-2</t>
  </si>
  <si>
    <t>038-3</t>
  </si>
  <si>
    <t>039-1</t>
  </si>
  <si>
    <t>039-2</t>
  </si>
  <si>
    <t>039-3</t>
  </si>
  <si>
    <t>044-1</t>
  </si>
  <si>
    <t>044-2</t>
  </si>
  <si>
    <t>044-3</t>
  </si>
  <si>
    <t>051-1</t>
  </si>
  <si>
    <t>Spring 2022</t>
  </si>
  <si>
    <t>051-2</t>
  </si>
  <si>
    <t>051-3</t>
  </si>
  <si>
    <t>052-1</t>
  </si>
  <si>
    <t>052-2</t>
  </si>
  <si>
    <t>052-3</t>
  </si>
  <si>
    <t>053-1</t>
  </si>
  <si>
    <t>053-2</t>
  </si>
  <si>
    <t>053-3</t>
  </si>
  <si>
    <t>054-1</t>
  </si>
  <si>
    <t>054-2</t>
  </si>
  <si>
    <t>054-3</t>
  </si>
  <si>
    <t>055-1</t>
  </si>
  <si>
    <t>055-2</t>
  </si>
  <si>
    <t>055-3</t>
  </si>
  <si>
    <t>056-1</t>
  </si>
  <si>
    <t>056-2</t>
  </si>
  <si>
    <t>056-3</t>
  </si>
  <si>
    <t>057-1</t>
  </si>
  <si>
    <t>057-2</t>
  </si>
  <si>
    <t>057-3</t>
  </si>
  <si>
    <t>058-1</t>
  </si>
  <si>
    <t>058-2</t>
  </si>
  <si>
    <t>058-3</t>
  </si>
  <si>
    <t>059-1</t>
  </si>
  <si>
    <t>059-2</t>
  </si>
  <si>
    <t>059-3</t>
  </si>
  <si>
    <t>060-1</t>
  </si>
  <si>
    <t>060-2</t>
  </si>
  <si>
    <t>060-3</t>
  </si>
  <si>
    <t>061-1</t>
  </si>
  <si>
    <t>061-2</t>
  </si>
  <si>
    <t>061-3</t>
  </si>
  <si>
    <t>062-1</t>
  </si>
  <si>
    <t>062-2</t>
  </si>
  <si>
    <t>062-3</t>
  </si>
  <si>
    <t>063-1</t>
  </si>
  <si>
    <t>063-2</t>
  </si>
  <si>
    <t>063-3</t>
  </si>
  <si>
    <t>065-1</t>
  </si>
  <si>
    <t>065-2</t>
  </si>
  <si>
    <t>065-3</t>
  </si>
  <si>
    <t>066-1</t>
  </si>
  <si>
    <t>066-2</t>
  </si>
  <si>
    <t>066-3</t>
  </si>
  <si>
    <t>067-1</t>
  </si>
  <si>
    <t>067-2</t>
  </si>
  <si>
    <t>067-3</t>
  </si>
  <si>
    <t>069-1</t>
  </si>
  <si>
    <t>069-2</t>
  </si>
  <si>
    <t>069-3</t>
  </si>
  <si>
    <t>070-1</t>
  </si>
  <si>
    <t>070-2</t>
  </si>
  <si>
    <t>070-3</t>
  </si>
  <si>
    <t>071-1</t>
  </si>
  <si>
    <t>Spring 2023</t>
  </si>
  <si>
    <t>071-2</t>
  </si>
  <si>
    <t>071-3</t>
  </si>
  <si>
    <t>073-1</t>
  </si>
  <si>
    <t>073-2</t>
  </si>
  <si>
    <t>073-3</t>
  </si>
  <si>
    <t>074-1</t>
  </si>
  <si>
    <t>074-2</t>
  </si>
  <si>
    <t>074-3</t>
  </si>
  <si>
    <t>075-1</t>
  </si>
  <si>
    <t>075-2</t>
  </si>
  <si>
    <t>075-3</t>
  </si>
  <si>
    <t>076-1</t>
  </si>
  <si>
    <t>076-2</t>
  </si>
  <si>
    <t>076-3</t>
  </si>
  <si>
    <t>077-1</t>
  </si>
  <si>
    <t>077-2</t>
  </si>
  <si>
    <t>077-3</t>
  </si>
  <si>
    <t>078-1</t>
  </si>
  <si>
    <t>078-2</t>
  </si>
  <si>
    <t>078-3</t>
  </si>
  <si>
    <t>079-1</t>
  </si>
  <si>
    <t>079-2</t>
  </si>
  <si>
    <t>079-3</t>
  </si>
  <si>
    <t>080-1</t>
  </si>
  <si>
    <t>080-2</t>
  </si>
  <si>
    <t>080-3</t>
  </si>
  <si>
    <t>081-1</t>
  </si>
  <si>
    <t>081-2</t>
  </si>
  <si>
    <t>081-3</t>
  </si>
  <si>
    <t>082-1</t>
  </si>
  <si>
    <t>082-2</t>
  </si>
  <si>
    <t>082-3</t>
  </si>
  <si>
    <t>083-1</t>
  </si>
  <si>
    <t>083-2</t>
  </si>
  <si>
    <t>083-3</t>
  </si>
  <si>
    <t>084-1</t>
  </si>
  <si>
    <t>084-2</t>
  </si>
  <si>
    <t>084-3</t>
  </si>
  <si>
    <t>085-1</t>
  </si>
  <si>
    <t>085-2</t>
  </si>
  <si>
    <t>085-3</t>
  </si>
  <si>
    <t>086-1</t>
  </si>
  <si>
    <t>086-2</t>
  </si>
  <si>
    <t>086-3</t>
  </si>
  <si>
    <t>087-1</t>
  </si>
  <si>
    <t>087-2</t>
  </si>
  <si>
    <t>087-3</t>
  </si>
  <si>
    <t>088-1</t>
  </si>
  <si>
    <t>088-2</t>
  </si>
  <si>
    <t>088-3</t>
  </si>
  <si>
    <t>089-1</t>
  </si>
  <si>
    <t>089-2</t>
  </si>
  <si>
    <t>089-3</t>
  </si>
  <si>
    <t>090-1</t>
  </si>
  <si>
    <t>090-2</t>
  </si>
  <si>
    <t>090-3</t>
  </si>
  <si>
    <t>091-1</t>
  </si>
  <si>
    <t>091-2</t>
  </si>
  <si>
    <t>091-3</t>
  </si>
  <si>
    <t>093-1</t>
  </si>
  <si>
    <t>Fall 2021</t>
  </si>
  <si>
    <t>093-2</t>
  </si>
  <si>
    <t>093-3</t>
  </si>
  <si>
    <t>094-1</t>
  </si>
  <si>
    <t>094-2</t>
  </si>
  <si>
    <t>094-3</t>
  </si>
  <si>
    <t>095-1</t>
  </si>
  <si>
    <t>095-2</t>
  </si>
  <si>
    <t>095-3</t>
  </si>
  <si>
    <t>096-1</t>
  </si>
  <si>
    <t>Fall 2022</t>
  </si>
  <si>
    <t>096-2</t>
  </si>
  <si>
    <t>096-3</t>
  </si>
  <si>
    <t>097-1</t>
  </si>
  <si>
    <t>097-2</t>
  </si>
  <si>
    <t>097-3</t>
  </si>
  <si>
    <t>098-1</t>
  </si>
  <si>
    <t>098-2</t>
  </si>
  <si>
    <t>098-3</t>
  </si>
  <si>
    <t>099-1</t>
  </si>
  <si>
    <t>099-2</t>
  </si>
  <si>
    <t>099-3</t>
  </si>
  <si>
    <t>100-1</t>
  </si>
  <si>
    <t>100-2</t>
  </si>
  <si>
    <t>100-3</t>
  </si>
  <si>
    <t>101-1</t>
  </si>
  <si>
    <t>101-2</t>
  </si>
  <si>
    <t>101-3</t>
  </si>
  <si>
    <t>102-1</t>
  </si>
  <si>
    <t>102-2</t>
  </si>
  <si>
    <t>102-3</t>
  </si>
  <si>
    <t>103-1</t>
  </si>
  <si>
    <t>103-2</t>
  </si>
  <si>
    <t>103-3</t>
  </si>
  <si>
    <t>104-1</t>
  </si>
  <si>
    <t>104-2</t>
  </si>
  <si>
    <t>104-3</t>
  </si>
  <si>
    <t>105-1</t>
  </si>
  <si>
    <t>105-2</t>
  </si>
  <si>
    <t>105-3</t>
  </si>
  <si>
    <t>106-1</t>
  </si>
  <si>
    <t>106-2</t>
  </si>
  <si>
    <t>106-3</t>
  </si>
  <si>
    <t>107-1</t>
  </si>
  <si>
    <t>107-2</t>
  </si>
  <si>
    <t>107-3</t>
  </si>
  <si>
    <t>108-1</t>
  </si>
  <si>
    <t>108-2</t>
  </si>
  <si>
    <t>108-3</t>
  </si>
  <si>
    <t>109-1</t>
  </si>
  <si>
    <t>109-2</t>
  </si>
  <si>
    <t>109-3</t>
  </si>
  <si>
    <t>110-1</t>
  </si>
  <si>
    <t>110-2</t>
  </si>
  <si>
    <t>110-3</t>
  </si>
  <si>
    <t>111-1</t>
  </si>
  <si>
    <t>111-2</t>
  </si>
  <si>
    <t>111-3</t>
  </si>
  <si>
    <t>112-1</t>
  </si>
  <si>
    <t>112-2</t>
  </si>
  <si>
    <t>112-3</t>
  </si>
  <si>
    <t>113-1</t>
  </si>
  <si>
    <t>113-2</t>
  </si>
  <si>
    <t>113-3</t>
  </si>
  <si>
    <t>114-1</t>
  </si>
  <si>
    <t>114-2</t>
  </si>
  <si>
    <t>114-3</t>
  </si>
  <si>
    <t>115-1</t>
  </si>
  <si>
    <t>115-2</t>
  </si>
  <si>
    <t>115-3</t>
  </si>
  <si>
    <t>116-1</t>
  </si>
  <si>
    <t>116-2</t>
  </si>
  <si>
    <t>116-3</t>
  </si>
  <si>
    <t>117-1</t>
  </si>
  <si>
    <t>Fall 2023</t>
  </si>
  <si>
    <t>117-2</t>
  </si>
  <si>
    <t>117-3</t>
  </si>
  <si>
    <t>118-1</t>
  </si>
  <si>
    <t>118-2</t>
  </si>
  <si>
    <t>118-3</t>
  </si>
  <si>
    <t>119-1</t>
  </si>
  <si>
    <t>119-2</t>
  </si>
  <si>
    <t>119-3</t>
  </si>
  <si>
    <t>120-1</t>
  </si>
  <si>
    <t>120-2</t>
  </si>
  <si>
    <t>120-3</t>
  </si>
  <si>
    <t>121-1</t>
  </si>
  <si>
    <t>121-2</t>
  </si>
  <si>
    <t>121-3</t>
  </si>
  <si>
    <t>122-1</t>
  </si>
  <si>
    <t>122-2</t>
  </si>
  <si>
    <t>122-3</t>
  </si>
  <si>
    <t>123-1</t>
  </si>
  <si>
    <t>123-2</t>
  </si>
  <si>
    <t>123-3</t>
  </si>
  <si>
    <t>124-1</t>
  </si>
  <si>
    <t>124-2</t>
  </si>
  <si>
    <t>124-3</t>
  </si>
  <si>
    <t>125-1</t>
  </si>
  <si>
    <t>125-2</t>
  </si>
  <si>
    <t>125-3</t>
  </si>
  <si>
    <t>126-1</t>
  </si>
  <si>
    <t>126-2</t>
  </si>
  <si>
    <t>126-3</t>
  </si>
  <si>
    <t>127-1</t>
  </si>
  <si>
    <t>127-2</t>
  </si>
  <si>
    <t>127-3</t>
  </si>
  <si>
    <t>128-1</t>
  </si>
  <si>
    <t>128-2</t>
  </si>
  <si>
    <t>128-3</t>
  </si>
  <si>
    <t>129-1</t>
  </si>
  <si>
    <t>129-2</t>
  </si>
  <si>
    <t>129-3</t>
  </si>
  <si>
    <t>130-1</t>
  </si>
  <si>
    <t>130-2</t>
  </si>
  <si>
    <t>130-3</t>
  </si>
  <si>
    <t>131-1</t>
  </si>
  <si>
    <t>131-2</t>
  </si>
  <si>
    <t>131-3</t>
  </si>
  <si>
    <t>132-1</t>
  </si>
  <si>
    <t>132-2</t>
  </si>
  <si>
    <t>132-3</t>
  </si>
  <si>
    <t>133-1</t>
  </si>
  <si>
    <t>133-2</t>
  </si>
  <si>
    <t>133-3</t>
  </si>
  <si>
    <t>C11.0</t>
  </si>
  <si>
    <t>C12.0</t>
  </si>
  <si>
    <t>C14.0</t>
  </si>
  <si>
    <t>C16.0</t>
  </si>
  <si>
    <t>C16.1</t>
  </si>
  <si>
    <t>C17.0</t>
  </si>
  <si>
    <t>C17.1</t>
  </si>
  <si>
    <t>C18.0</t>
  </si>
  <si>
    <t>C18.1</t>
  </si>
  <si>
    <t>C18.2.n.6._LA</t>
  </si>
  <si>
    <t>C18.3.n.3._LNA</t>
  </si>
  <si>
    <t>C21.0</t>
  </si>
  <si>
    <t>C20.4.n.6._ARA</t>
  </si>
  <si>
    <t>C20.5.n.3._EPA</t>
  </si>
  <si>
    <t>C22.2.n.6.</t>
  </si>
  <si>
    <t>C24.1</t>
  </si>
  <si>
    <t>C22.6.n.3._DHA</t>
  </si>
  <si>
    <t>NA</t>
  </si>
  <si>
    <t>LA</t>
  </si>
  <si>
    <t>ARA</t>
  </si>
  <si>
    <t>EPA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</si>
</sst>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F9D66-0A58-4810-983B-5E191F0D2CE7}">
  <dimension ref="A1:AK304"/>
  <sheetViews>
    <sheetView tabSelected="1" topLeftCell="A177" workbookViewId="0">
      <selection activeCell="C1" sqref="C1:D289"/>
    </sheetView>
  </sheetViews>
  <sheetFormatPr defaultRowHeight="15.75"/>
  <cols>
    <col min="3" max="3" width="9.125" bestFit="1" customWidth="1"/>
    <col min="5" max="5" width="10.875" customWidth="1"/>
  </cols>
  <sheetData>
    <row r="1" spans="1:8">
      <c r="A1" s="1" t="s">
        <v>0</v>
      </c>
      <c r="B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t="s">
        <v>8</v>
      </c>
      <c r="B2" t="s">
        <v>9</v>
      </c>
      <c r="C2" s="3">
        <v>27.235678409999998</v>
      </c>
      <c r="D2" s="3">
        <v>24.678758460000001</v>
      </c>
      <c r="E2" s="3">
        <v>33.25466393</v>
      </c>
      <c r="F2" s="3">
        <v>45.536134769999997</v>
      </c>
      <c r="G2" s="3">
        <v>2.5494283690000001</v>
      </c>
      <c r="H2" s="3">
        <v>48.085563139999998</v>
      </c>
    </row>
    <row r="3" spans="1:8">
      <c r="A3" t="s">
        <v>10</v>
      </c>
      <c r="B3" t="s">
        <v>9</v>
      </c>
      <c r="C3" s="3">
        <v>27.235678409999998</v>
      </c>
      <c r="D3" s="3">
        <v>24.678758460000001</v>
      </c>
      <c r="E3" s="3">
        <v>33.25466393</v>
      </c>
      <c r="F3" s="3">
        <v>45.536134769999997</v>
      </c>
      <c r="G3" s="3">
        <v>2.5494283690000001</v>
      </c>
      <c r="H3" s="3">
        <v>48.085563139999998</v>
      </c>
    </row>
    <row r="4" spans="1:8">
      <c r="A4" t="s">
        <v>11</v>
      </c>
      <c r="B4" t="s">
        <v>9</v>
      </c>
      <c r="C4" s="3">
        <v>27.235678409999998</v>
      </c>
      <c r="D4" s="3">
        <v>24.678758460000001</v>
      </c>
      <c r="E4" s="3">
        <v>33.25466393</v>
      </c>
      <c r="F4" s="3">
        <v>45.536134769999997</v>
      </c>
      <c r="G4" s="3">
        <v>2.5494283690000001</v>
      </c>
      <c r="H4" s="3">
        <v>48.085563139999998</v>
      </c>
    </row>
    <row r="5" spans="1:8">
      <c r="A5" t="s">
        <v>12</v>
      </c>
      <c r="B5" t="s">
        <v>9</v>
      </c>
      <c r="C5" s="3">
        <v>25.71556503</v>
      </c>
      <c r="D5" s="3">
        <v>25.084221599999999</v>
      </c>
      <c r="E5" s="3">
        <v>34.982994949999998</v>
      </c>
      <c r="F5" s="3">
        <v>46.138210960000002</v>
      </c>
      <c r="G5" s="3">
        <v>3.0620024140000002</v>
      </c>
      <c r="H5" s="3">
        <v>49.20021337</v>
      </c>
    </row>
    <row r="6" spans="1:8">
      <c r="A6" t="s">
        <v>13</v>
      </c>
      <c r="B6" t="s">
        <v>9</v>
      </c>
      <c r="C6" s="3">
        <v>25.71556503</v>
      </c>
      <c r="D6" s="3">
        <v>25.084221599999999</v>
      </c>
      <c r="E6" s="3">
        <v>34.982994949999998</v>
      </c>
      <c r="F6" s="3">
        <v>46.138210960000002</v>
      </c>
      <c r="G6" s="3">
        <v>3.0620024140000002</v>
      </c>
      <c r="H6" s="3">
        <v>49.20021337</v>
      </c>
    </row>
    <row r="7" spans="1:8">
      <c r="A7" t="s">
        <v>14</v>
      </c>
      <c r="B7" t="s">
        <v>9</v>
      </c>
      <c r="C7" s="3">
        <v>25.71556503</v>
      </c>
      <c r="D7" s="3">
        <v>25.084221599999999</v>
      </c>
      <c r="E7" s="3">
        <v>34.982994949999998</v>
      </c>
      <c r="F7" s="3">
        <v>46.138210960000002</v>
      </c>
      <c r="G7" s="3">
        <v>3.0620024140000002</v>
      </c>
      <c r="H7" s="3">
        <v>49.20021337</v>
      </c>
    </row>
    <row r="8" spans="1:8">
      <c r="A8" t="s">
        <v>15</v>
      </c>
      <c r="B8" t="s">
        <v>16</v>
      </c>
      <c r="C8" s="3">
        <v>24.62286727</v>
      </c>
      <c r="D8" s="3">
        <v>31.079125049999998</v>
      </c>
      <c r="E8" s="3">
        <v>23.828449599999999</v>
      </c>
      <c r="F8" s="3">
        <v>39.690825820000001</v>
      </c>
      <c r="G8" s="3">
        <v>4.6071818530000002</v>
      </c>
      <c r="H8" s="3">
        <v>44.298007679999998</v>
      </c>
    </row>
    <row r="9" spans="1:8">
      <c r="A9" t="s">
        <v>17</v>
      </c>
      <c r="B9" t="s">
        <v>16</v>
      </c>
      <c r="C9" s="3">
        <v>24.62286727</v>
      </c>
      <c r="D9" s="3">
        <v>31.079125049999998</v>
      </c>
      <c r="E9" s="3">
        <v>23.828449599999999</v>
      </c>
      <c r="F9" s="3">
        <v>39.690825820000001</v>
      </c>
      <c r="G9" s="3">
        <v>4.6071818530000002</v>
      </c>
      <c r="H9" s="3">
        <v>44.298007679999998</v>
      </c>
    </row>
    <row r="10" spans="1:8">
      <c r="A10" t="s">
        <v>18</v>
      </c>
      <c r="B10" t="s">
        <v>16</v>
      </c>
      <c r="C10" s="3">
        <v>24.62286727</v>
      </c>
      <c r="D10" s="3">
        <v>31.079125049999998</v>
      </c>
      <c r="E10" s="3">
        <v>23.828449599999999</v>
      </c>
      <c r="F10" s="3">
        <v>39.690825820000001</v>
      </c>
      <c r="G10" s="3">
        <v>4.6071818530000002</v>
      </c>
      <c r="H10" s="3">
        <v>44.298007679999998</v>
      </c>
    </row>
    <row r="11" spans="1:8">
      <c r="A11" t="s">
        <v>19</v>
      </c>
      <c r="B11" t="s">
        <v>16</v>
      </c>
      <c r="C11" s="3">
        <v>25.804842669999999</v>
      </c>
      <c r="D11" s="3">
        <v>27.793507630000001</v>
      </c>
      <c r="E11" s="3">
        <v>21.76211936</v>
      </c>
      <c r="F11" s="3">
        <v>42.398623980000004</v>
      </c>
      <c r="G11" s="3">
        <v>4.0030257259999997</v>
      </c>
      <c r="H11" s="3">
        <v>46.401649710000001</v>
      </c>
    </row>
    <row r="12" spans="1:8">
      <c r="A12" t="s">
        <v>20</v>
      </c>
      <c r="B12" t="s">
        <v>16</v>
      </c>
      <c r="C12" s="3">
        <v>25.804842669999999</v>
      </c>
      <c r="D12" s="3">
        <v>27.793507630000001</v>
      </c>
      <c r="E12" s="3">
        <v>21.76211936</v>
      </c>
      <c r="F12" s="3">
        <v>42.398623980000004</v>
      </c>
      <c r="G12" s="3">
        <v>4.0030257259999997</v>
      </c>
      <c r="H12" s="3">
        <v>46.401649710000001</v>
      </c>
    </row>
    <row r="13" spans="1:8">
      <c r="A13" t="s">
        <v>21</v>
      </c>
      <c r="B13" t="s">
        <v>16</v>
      </c>
      <c r="C13" s="3">
        <v>25.804842669999999</v>
      </c>
      <c r="D13" s="3">
        <v>27.793507630000001</v>
      </c>
      <c r="E13" s="3">
        <v>21.76211936</v>
      </c>
      <c r="F13" s="3">
        <v>42.398623980000004</v>
      </c>
      <c r="G13" s="3">
        <v>4.0030257259999997</v>
      </c>
      <c r="H13" s="3">
        <v>46.401649710000001</v>
      </c>
    </row>
    <row r="14" spans="1:8">
      <c r="A14" t="s">
        <v>22</v>
      </c>
      <c r="B14" t="s">
        <v>16</v>
      </c>
      <c r="C14" s="3">
        <v>27.251259999999998</v>
      </c>
      <c r="D14" s="3">
        <v>29.676100519999999</v>
      </c>
      <c r="E14" s="3">
        <v>29.644380219999999</v>
      </c>
      <c r="F14" s="3">
        <v>35.632467490000003</v>
      </c>
      <c r="G14" s="3">
        <v>7.440171995</v>
      </c>
      <c r="H14" s="3">
        <v>43.072639479999999</v>
      </c>
    </row>
    <row r="15" spans="1:8">
      <c r="A15" t="s">
        <v>23</v>
      </c>
      <c r="B15" t="s">
        <v>16</v>
      </c>
      <c r="C15" s="3">
        <v>27.251259999999998</v>
      </c>
      <c r="D15" s="3">
        <v>29.676100519999999</v>
      </c>
      <c r="E15" s="3">
        <v>29.644380219999999</v>
      </c>
      <c r="F15" s="3">
        <v>35.632467490000003</v>
      </c>
      <c r="G15" s="3">
        <v>7.440171995</v>
      </c>
      <c r="H15" s="3">
        <v>43.072639479999999</v>
      </c>
    </row>
    <row r="16" spans="1:8">
      <c r="A16" t="s">
        <v>24</v>
      </c>
      <c r="B16" t="s">
        <v>16</v>
      </c>
      <c r="C16" s="3">
        <v>27.251259999999998</v>
      </c>
      <c r="D16" s="3">
        <v>29.676100519999999</v>
      </c>
      <c r="E16" s="3">
        <v>29.644380219999999</v>
      </c>
      <c r="F16" s="3">
        <v>35.632467490000003</v>
      </c>
      <c r="G16" s="3">
        <v>7.440171995</v>
      </c>
      <c r="H16" s="3">
        <v>43.072639479999999</v>
      </c>
    </row>
    <row r="17" spans="1:8">
      <c r="A17" t="s">
        <v>25</v>
      </c>
      <c r="B17" t="s">
        <v>16</v>
      </c>
      <c r="C17" s="3">
        <v>24.484427350000001</v>
      </c>
      <c r="D17" s="3">
        <v>30.66137238</v>
      </c>
      <c r="E17" s="3">
        <v>32.334036480000002</v>
      </c>
      <c r="F17" s="3">
        <v>37.87814865</v>
      </c>
      <c r="G17" s="3">
        <v>6.9760516189999997</v>
      </c>
      <c r="H17" s="3">
        <v>44.85420027</v>
      </c>
    </row>
    <row r="18" spans="1:8">
      <c r="A18" t="s">
        <v>26</v>
      </c>
      <c r="B18" t="s">
        <v>16</v>
      </c>
      <c r="C18" s="3">
        <v>24.484427350000001</v>
      </c>
      <c r="D18" s="3">
        <v>30.66137238</v>
      </c>
      <c r="E18" s="3">
        <v>32.334036480000002</v>
      </c>
      <c r="F18" s="3">
        <v>37.87814865</v>
      </c>
      <c r="G18" s="3">
        <v>6.9760516189999997</v>
      </c>
      <c r="H18" s="3">
        <v>44.85420027</v>
      </c>
    </row>
    <row r="19" spans="1:8">
      <c r="A19" t="s">
        <v>27</v>
      </c>
      <c r="B19" t="s">
        <v>16</v>
      </c>
      <c r="C19" s="3">
        <v>24.484427350000001</v>
      </c>
      <c r="D19" s="3">
        <v>30.66137238</v>
      </c>
      <c r="E19" s="3">
        <v>32.334036480000002</v>
      </c>
      <c r="F19" s="3">
        <v>37.87814865</v>
      </c>
      <c r="G19" s="3">
        <v>6.9760516189999997</v>
      </c>
      <c r="H19" s="3">
        <v>44.85420027</v>
      </c>
    </row>
    <row r="20" spans="1:8">
      <c r="A20" t="s">
        <v>28</v>
      </c>
      <c r="B20" t="s">
        <v>16</v>
      </c>
      <c r="C20" s="3">
        <v>26.539605600000002</v>
      </c>
      <c r="D20" s="3">
        <v>29.767544340000001</v>
      </c>
      <c r="E20" s="3">
        <v>31.445778709999999</v>
      </c>
      <c r="F20" s="3">
        <v>37.409569980000001</v>
      </c>
      <c r="G20" s="3">
        <v>6.2832800850000003</v>
      </c>
      <c r="H20" s="3">
        <v>43.692850059999998</v>
      </c>
    </row>
    <row r="21" spans="1:8">
      <c r="A21" t="s">
        <v>29</v>
      </c>
      <c r="B21" t="s">
        <v>16</v>
      </c>
      <c r="C21" s="3">
        <v>26.539605600000002</v>
      </c>
      <c r="D21" s="3">
        <v>29.767544340000001</v>
      </c>
      <c r="E21" s="3">
        <v>31.445778709999999</v>
      </c>
      <c r="F21" s="3">
        <v>37.409569980000001</v>
      </c>
      <c r="G21" s="3">
        <v>6.2832800850000003</v>
      </c>
      <c r="H21" s="3">
        <v>43.692850059999998</v>
      </c>
    </row>
    <row r="22" spans="1:8">
      <c r="A22" t="s">
        <v>30</v>
      </c>
      <c r="B22" t="s">
        <v>16</v>
      </c>
      <c r="C22" s="3">
        <v>26.539605600000002</v>
      </c>
      <c r="D22" s="3">
        <v>29.767544340000001</v>
      </c>
      <c r="E22" s="3">
        <v>31.445778709999999</v>
      </c>
      <c r="F22" s="3">
        <v>37.409569980000001</v>
      </c>
      <c r="G22" s="3">
        <v>6.2832800850000003</v>
      </c>
      <c r="H22" s="3">
        <v>43.692850059999998</v>
      </c>
    </row>
    <row r="23" spans="1:8">
      <c r="A23" t="s">
        <v>31</v>
      </c>
      <c r="B23" t="s">
        <v>16</v>
      </c>
      <c r="C23" s="3">
        <v>25.96246477</v>
      </c>
      <c r="D23" s="3">
        <v>20.387483499999998</v>
      </c>
      <c r="E23" s="3">
        <v>26.057016449999999</v>
      </c>
      <c r="F23" s="3">
        <v>50.817069250000003</v>
      </c>
      <c r="G23" s="3">
        <v>2.8329824810000002</v>
      </c>
      <c r="H23" s="3">
        <v>53.650051740000002</v>
      </c>
    </row>
    <row r="24" spans="1:8">
      <c r="A24" t="s">
        <v>32</v>
      </c>
      <c r="B24" t="s">
        <v>16</v>
      </c>
      <c r="C24" s="3">
        <v>25.96246477</v>
      </c>
      <c r="D24" s="3">
        <v>20.387483499999998</v>
      </c>
      <c r="E24" s="3">
        <v>26.057016449999999</v>
      </c>
      <c r="F24" s="3">
        <v>50.817069250000003</v>
      </c>
      <c r="G24" s="3">
        <v>2.8329824810000002</v>
      </c>
      <c r="H24" s="3">
        <v>53.650051740000002</v>
      </c>
    </row>
    <row r="25" spans="1:8">
      <c r="A25" t="s">
        <v>33</v>
      </c>
      <c r="B25" t="s">
        <v>16</v>
      </c>
      <c r="C25" s="3">
        <v>25.96246477</v>
      </c>
      <c r="D25" s="3">
        <v>20.387483499999998</v>
      </c>
      <c r="E25" s="3">
        <v>26.057016449999999</v>
      </c>
      <c r="F25" s="3">
        <v>50.817069250000003</v>
      </c>
      <c r="G25" s="3">
        <v>2.8329824810000002</v>
      </c>
      <c r="H25" s="3">
        <v>53.650051740000002</v>
      </c>
    </row>
    <row r="26" spans="1:8">
      <c r="A26" t="s">
        <v>34</v>
      </c>
      <c r="B26" t="s">
        <v>16</v>
      </c>
      <c r="C26" s="3">
        <v>25.36238831</v>
      </c>
      <c r="D26" s="3">
        <v>35.252898520000002</v>
      </c>
      <c r="E26" s="3">
        <v>27.816789140000001</v>
      </c>
      <c r="F26" s="3">
        <v>32.825325460000002</v>
      </c>
      <c r="G26" s="3">
        <v>6.5593877120000004</v>
      </c>
      <c r="H26" s="3">
        <v>39.384713169999998</v>
      </c>
    </row>
    <row r="27" spans="1:8">
      <c r="A27" t="s">
        <v>35</v>
      </c>
      <c r="B27" t="s">
        <v>16</v>
      </c>
      <c r="C27" s="3">
        <v>25.36238831</v>
      </c>
      <c r="D27" s="3">
        <v>35.252898520000002</v>
      </c>
      <c r="E27" s="3">
        <v>27.816789140000001</v>
      </c>
      <c r="F27" s="3">
        <v>32.825325460000002</v>
      </c>
      <c r="G27" s="3">
        <v>6.5593877120000004</v>
      </c>
      <c r="H27" s="3">
        <v>39.384713169999998</v>
      </c>
    </row>
    <row r="28" spans="1:8">
      <c r="A28" t="s">
        <v>36</v>
      </c>
      <c r="B28" t="s">
        <v>16</v>
      </c>
      <c r="C28" s="3">
        <v>25.36238831</v>
      </c>
      <c r="D28" s="3">
        <v>35.252898520000002</v>
      </c>
      <c r="E28" s="3">
        <v>27.816789140000001</v>
      </c>
      <c r="F28" s="3">
        <v>32.825325460000002</v>
      </c>
      <c r="G28" s="3">
        <v>6.5593877120000004</v>
      </c>
      <c r="H28" s="3">
        <v>39.384713169999998</v>
      </c>
    </row>
    <row r="29" spans="1:8">
      <c r="A29" t="s">
        <v>37</v>
      </c>
      <c r="B29" t="s">
        <v>9</v>
      </c>
      <c r="C29" s="3">
        <v>20.004678120000001</v>
      </c>
      <c r="D29" s="3">
        <v>25.81190952</v>
      </c>
      <c r="E29" s="3">
        <v>38.194207939999998</v>
      </c>
      <c r="F29" s="3">
        <v>50.855024550000003</v>
      </c>
      <c r="G29" s="3">
        <v>3.3283878100000002</v>
      </c>
      <c r="H29" s="3">
        <v>54.183412359999998</v>
      </c>
    </row>
    <row r="30" spans="1:8">
      <c r="A30" t="s">
        <v>38</v>
      </c>
      <c r="B30" t="s">
        <v>9</v>
      </c>
      <c r="C30" s="3">
        <v>20.004678120000001</v>
      </c>
      <c r="D30" s="3">
        <v>25.81190952</v>
      </c>
      <c r="E30" s="3">
        <v>38.194207939999998</v>
      </c>
      <c r="F30" s="3">
        <v>50.855024550000003</v>
      </c>
      <c r="G30" s="3">
        <v>3.3283878100000002</v>
      </c>
      <c r="H30" s="3">
        <v>54.183412359999998</v>
      </c>
    </row>
    <row r="31" spans="1:8">
      <c r="A31" t="s">
        <v>39</v>
      </c>
      <c r="B31" t="s">
        <v>9</v>
      </c>
      <c r="C31" s="3">
        <v>20.004678120000001</v>
      </c>
      <c r="D31" s="3">
        <v>25.81190952</v>
      </c>
      <c r="E31" s="3">
        <v>38.194207939999998</v>
      </c>
      <c r="F31" s="3">
        <v>50.855024550000003</v>
      </c>
      <c r="G31" s="3">
        <v>3.3283878100000002</v>
      </c>
      <c r="H31" s="3">
        <v>54.183412359999998</v>
      </c>
    </row>
    <row r="32" spans="1:8">
      <c r="A32" t="s">
        <v>40</v>
      </c>
      <c r="B32" t="s">
        <v>9</v>
      </c>
      <c r="C32" s="3">
        <v>22.673649709999999</v>
      </c>
      <c r="D32" s="3">
        <v>26.06113229</v>
      </c>
      <c r="E32" s="3">
        <v>37.714630100000001</v>
      </c>
      <c r="F32" s="3">
        <v>48.481939079999997</v>
      </c>
      <c r="G32" s="3">
        <v>2.783278927</v>
      </c>
      <c r="H32" s="3">
        <v>51.265217999999997</v>
      </c>
    </row>
    <row r="33" spans="1:8">
      <c r="A33" t="s">
        <v>41</v>
      </c>
      <c r="B33" t="s">
        <v>9</v>
      </c>
      <c r="C33" s="3">
        <v>22.673649709999999</v>
      </c>
      <c r="D33" s="3">
        <v>26.06113229</v>
      </c>
      <c r="E33" s="3">
        <v>37.714630100000001</v>
      </c>
      <c r="F33" s="3">
        <v>48.481939079999997</v>
      </c>
      <c r="G33" s="3">
        <v>2.783278927</v>
      </c>
      <c r="H33" s="3">
        <v>51.265217999999997</v>
      </c>
    </row>
    <row r="34" spans="1:8">
      <c r="A34" t="s">
        <v>42</v>
      </c>
      <c r="B34" t="s">
        <v>9</v>
      </c>
      <c r="C34" s="3">
        <v>22.673649709999999</v>
      </c>
      <c r="D34" s="3">
        <v>26.06113229</v>
      </c>
      <c r="E34" s="3">
        <v>37.714630100000001</v>
      </c>
      <c r="F34" s="3">
        <v>48.481939079999997</v>
      </c>
      <c r="G34" s="3">
        <v>2.783278927</v>
      </c>
      <c r="H34" s="3">
        <v>51.265217999999997</v>
      </c>
    </row>
    <row r="35" spans="1:8">
      <c r="A35" t="s">
        <v>43</v>
      </c>
      <c r="B35" t="s">
        <v>9</v>
      </c>
      <c r="C35" s="3">
        <v>18.067240510000001</v>
      </c>
      <c r="D35" s="3">
        <v>28.692118149999999</v>
      </c>
      <c r="E35" s="3">
        <v>42.360345959999997</v>
      </c>
      <c r="F35" s="3">
        <v>49.502812589999998</v>
      </c>
      <c r="G35" s="3">
        <v>3.7378287600000002</v>
      </c>
      <c r="H35" s="3">
        <v>53.240641340000003</v>
      </c>
    </row>
    <row r="36" spans="1:8">
      <c r="A36" t="s">
        <v>44</v>
      </c>
      <c r="B36" t="s">
        <v>9</v>
      </c>
      <c r="C36" s="3">
        <v>18.067240510000001</v>
      </c>
      <c r="D36" s="3">
        <v>28.692118149999999</v>
      </c>
      <c r="E36" s="3">
        <v>42.360345959999997</v>
      </c>
      <c r="F36" s="3">
        <v>49.502812589999998</v>
      </c>
      <c r="G36" s="3">
        <v>3.7378287600000002</v>
      </c>
      <c r="H36" s="3">
        <v>53.240641340000003</v>
      </c>
    </row>
    <row r="37" spans="1:8">
      <c r="A37" t="s">
        <v>45</v>
      </c>
      <c r="B37" t="s">
        <v>9</v>
      </c>
      <c r="C37" s="3">
        <v>18.067240510000001</v>
      </c>
      <c r="D37" s="3">
        <v>28.692118149999999</v>
      </c>
      <c r="E37" s="3">
        <v>42.360345959999997</v>
      </c>
      <c r="F37" s="3">
        <v>49.502812589999998</v>
      </c>
      <c r="G37" s="3">
        <v>3.7378287600000002</v>
      </c>
      <c r="H37" s="3">
        <v>53.240641340000003</v>
      </c>
    </row>
    <row r="38" spans="1:8">
      <c r="A38" t="s">
        <v>46</v>
      </c>
      <c r="B38" t="s">
        <v>47</v>
      </c>
      <c r="C38" s="3">
        <v>18.943430490000001</v>
      </c>
      <c r="D38" s="3">
        <v>26.73341559</v>
      </c>
      <c r="E38" s="3">
        <v>28.762707389999999</v>
      </c>
      <c r="F38" s="3">
        <v>50.943328280000003</v>
      </c>
      <c r="G38" s="3">
        <v>3.3798256480000002</v>
      </c>
      <c r="H38" s="3">
        <v>54.323153929999997</v>
      </c>
    </row>
    <row r="39" spans="1:8">
      <c r="A39" t="s">
        <v>48</v>
      </c>
      <c r="B39" t="s">
        <v>47</v>
      </c>
      <c r="C39" s="3">
        <v>18.943430490000001</v>
      </c>
      <c r="D39" s="3">
        <v>26.73341559</v>
      </c>
      <c r="E39" s="3">
        <v>28.762707389999999</v>
      </c>
      <c r="F39" s="3">
        <v>50.943328280000003</v>
      </c>
      <c r="G39" s="3">
        <v>3.3798256480000002</v>
      </c>
      <c r="H39" s="3">
        <v>54.323153929999997</v>
      </c>
    </row>
    <row r="40" spans="1:8">
      <c r="A40" t="s">
        <v>49</v>
      </c>
      <c r="B40" t="s">
        <v>47</v>
      </c>
      <c r="C40" s="3">
        <v>18.943430490000001</v>
      </c>
      <c r="D40" s="3">
        <v>26.73341559</v>
      </c>
      <c r="E40" s="3">
        <v>28.762707389999999</v>
      </c>
      <c r="F40" s="3">
        <v>50.943328280000003</v>
      </c>
      <c r="G40" s="3">
        <v>3.3798256480000002</v>
      </c>
      <c r="H40" s="3">
        <v>54.323153929999997</v>
      </c>
    </row>
    <row r="41" spans="1:8">
      <c r="A41" t="s">
        <v>50</v>
      </c>
      <c r="B41" t="s">
        <v>47</v>
      </c>
      <c r="C41" s="3">
        <v>23.9996106</v>
      </c>
      <c r="D41" s="3">
        <v>28.868049249999999</v>
      </c>
      <c r="E41" s="3">
        <v>28.296554220000001</v>
      </c>
      <c r="F41" s="3">
        <v>42.398200940000002</v>
      </c>
      <c r="G41" s="3">
        <v>4.7341392239999998</v>
      </c>
      <c r="H41" s="3">
        <v>47.132340169999999</v>
      </c>
    </row>
    <row r="42" spans="1:8">
      <c r="A42" t="s">
        <v>51</v>
      </c>
      <c r="B42" t="s">
        <v>47</v>
      </c>
      <c r="C42" s="3">
        <v>23.9996106</v>
      </c>
      <c r="D42" s="3">
        <v>28.868049249999999</v>
      </c>
      <c r="E42" s="3">
        <v>28.296554220000001</v>
      </c>
      <c r="F42" s="3">
        <v>42.398200940000002</v>
      </c>
      <c r="G42" s="3">
        <v>4.7341392239999998</v>
      </c>
      <c r="H42" s="3">
        <v>47.132340169999999</v>
      </c>
    </row>
    <row r="43" spans="1:8">
      <c r="A43" t="s">
        <v>52</v>
      </c>
      <c r="B43" t="s">
        <v>47</v>
      </c>
      <c r="C43" s="3">
        <v>23.9996106</v>
      </c>
      <c r="D43" s="3">
        <v>28.868049249999999</v>
      </c>
      <c r="E43" s="3">
        <v>28.296554220000001</v>
      </c>
      <c r="F43" s="3">
        <v>42.398200940000002</v>
      </c>
      <c r="G43" s="3">
        <v>4.7341392239999998</v>
      </c>
      <c r="H43" s="3">
        <v>47.132340169999999</v>
      </c>
    </row>
    <row r="44" spans="1:8">
      <c r="A44" t="s">
        <v>53</v>
      </c>
      <c r="B44" t="s">
        <v>47</v>
      </c>
      <c r="C44" s="3">
        <v>20.34817825</v>
      </c>
      <c r="D44" s="3">
        <v>24.14794418</v>
      </c>
      <c r="E44" s="3">
        <v>28.456922599999999</v>
      </c>
      <c r="F44" s="3">
        <v>51.314250039999997</v>
      </c>
      <c r="G44" s="3">
        <v>4.1896275449999996</v>
      </c>
      <c r="H44" s="3">
        <v>55.503877580000001</v>
      </c>
    </row>
    <row r="45" spans="1:8">
      <c r="A45" t="s">
        <v>54</v>
      </c>
      <c r="B45" t="s">
        <v>47</v>
      </c>
      <c r="C45" s="3">
        <v>20.34817825</v>
      </c>
      <c r="D45" s="3">
        <v>24.14794418</v>
      </c>
      <c r="E45" s="3">
        <v>28.456922599999999</v>
      </c>
      <c r="F45" s="3">
        <v>51.314250039999997</v>
      </c>
      <c r="G45" s="3">
        <v>4.1896275449999996</v>
      </c>
      <c r="H45" s="3">
        <v>55.503877580000001</v>
      </c>
    </row>
    <row r="46" spans="1:8">
      <c r="A46" t="s">
        <v>55</v>
      </c>
      <c r="B46" t="s">
        <v>47</v>
      </c>
      <c r="C46" s="3">
        <v>20.34817825</v>
      </c>
      <c r="D46" s="3">
        <v>24.14794418</v>
      </c>
      <c r="E46" s="3">
        <v>28.456922599999999</v>
      </c>
      <c r="F46" s="3">
        <v>51.314250039999997</v>
      </c>
      <c r="G46" s="3">
        <v>4.1896275449999996</v>
      </c>
      <c r="H46" s="3">
        <v>55.503877580000001</v>
      </c>
    </row>
    <row r="47" spans="1:8">
      <c r="A47" t="s">
        <v>56</v>
      </c>
      <c r="B47" t="s">
        <v>47</v>
      </c>
      <c r="C47" s="3">
        <v>15.80611624</v>
      </c>
      <c r="D47" s="3">
        <v>29.10226844</v>
      </c>
      <c r="E47" s="3">
        <v>36.509253479999998</v>
      </c>
      <c r="F47" s="3">
        <v>51.304920369999998</v>
      </c>
      <c r="G47" s="3">
        <v>3.7866949509999999</v>
      </c>
      <c r="H47" s="3">
        <v>55.091615320000002</v>
      </c>
    </row>
    <row r="48" spans="1:8">
      <c r="A48" t="s">
        <v>57</v>
      </c>
      <c r="B48" t="s">
        <v>47</v>
      </c>
      <c r="C48" s="3">
        <v>15.80611624</v>
      </c>
      <c r="D48" s="3">
        <v>29.10226844</v>
      </c>
      <c r="E48" s="3">
        <v>36.509253479999998</v>
      </c>
      <c r="F48" s="3">
        <v>51.304920369999998</v>
      </c>
      <c r="G48" s="3">
        <v>3.7866949509999999</v>
      </c>
      <c r="H48" s="3">
        <v>55.091615320000002</v>
      </c>
    </row>
    <row r="49" spans="1:8">
      <c r="A49" t="s">
        <v>58</v>
      </c>
      <c r="B49" t="s">
        <v>47</v>
      </c>
      <c r="C49" s="3">
        <v>15.80611624</v>
      </c>
      <c r="D49" s="3">
        <v>29.10226844</v>
      </c>
      <c r="E49" s="3">
        <v>36.509253479999998</v>
      </c>
      <c r="F49" s="3">
        <v>51.304920369999998</v>
      </c>
      <c r="G49" s="3">
        <v>3.7866949509999999</v>
      </c>
      <c r="H49" s="3">
        <v>55.091615320000002</v>
      </c>
    </row>
    <row r="50" spans="1:8">
      <c r="A50" t="s">
        <v>59</v>
      </c>
      <c r="B50" t="s">
        <v>9</v>
      </c>
      <c r="C50" s="3">
        <v>20.640688489999999</v>
      </c>
      <c r="D50" s="3">
        <v>24.687828140000001</v>
      </c>
      <c r="E50" s="3">
        <v>39.831618169999999</v>
      </c>
      <c r="F50" s="3">
        <v>51.008975589999999</v>
      </c>
      <c r="G50" s="3">
        <v>3.6625077880000001</v>
      </c>
      <c r="H50" s="3">
        <v>54.671483379999998</v>
      </c>
    </row>
    <row r="51" spans="1:8">
      <c r="A51" t="s">
        <v>60</v>
      </c>
      <c r="B51" t="s">
        <v>9</v>
      </c>
      <c r="C51" s="3">
        <v>20.640688489999999</v>
      </c>
      <c r="D51" s="3">
        <v>24.687828140000001</v>
      </c>
      <c r="E51" s="3">
        <v>39.831618169999999</v>
      </c>
      <c r="F51" s="3">
        <v>51.008975589999999</v>
      </c>
      <c r="G51" s="3">
        <v>3.6625077880000001</v>
      </c>
      <c r="H51" s="3">
        <v>54.671483379999998</v>
      </c>
    </row>
    <row r="52" spans="1:8">
      <c r="A52" t="s">
        <v>61</v>
      </c>
      <c r="B52" t="s">
        <v>9</v>
      </c>
      <c r="C52" s="3">
        <v>20.640688489999999</v>
      </c>
      <c r="D52" s="3">
        <v>24.687828140000001</v>
      </c>
      <c r="E52" s="3">
        <v>39.831618169999999</v>
      </c>
      <c r="F52" s="3">
        <v>51.008975589999999</v>
      </c>
      <c r="G52" s="3">
        <v>3.6625077880000001</v>
      </c>
      <c r="H52" s="3">
        <v>54.671483379999998</v>
      </c>
    </row>
    <row r="53" spans="1:8">
      <c r="A53" t="s">
        <v>62</v>
      </c>
      <c r="B53" t="s">
        <v>63</v>
      </c>
      <c r="C53" s="3">
        <v>18.578000029999998</v>
      </c>
      <c r="D53" s="3">
        <v>22.359654020000001</v>
      </c>
      <c r="E53" s="3">
        <v>47.257300430000001</v>
      </c>
      <c r="F53" s="3">
        <v>52.06551142</v>
      </c>
      <c r="G53" s="3">
        <v>6.9968345330000004</v>
      </c>
      <c r="H53" s="3">
        <v>59.062345950000001</v>
      </c>
    </row>
    <row r="54" spans="1:8">
      <c r="A54" t="s">
        <v>64</v>
      </c>
      <c r="B54" t="s">
        <v>63</v>
      </c>
      <c r="C54" s="3">
        <v>18.578000029999998</v>
      </c>
      <c r="D54" s="3">
        <v>22.359654020000001</v>
      </c>
      <c r="E54" s="3">
        <v>47.257300430000001</v>
      </c>
      <c r="F54" s="3">
        <v>52.06551142</v>
      </c>
      <c r="G54" s="3">
        <v>6.9968345330000004</v>
      </c>
      <c r="H54" s="3">
        <v>59.062345950000001</v>
      </c>
    </row>
    <row r="55" spans="1:8">
      <c r="A55" t="s">
        <v>65</v>
      </c>
      <c r="B55" t="s">
        <v>63</v>
      </c>
      <c r="C55" s="3">
        <v>18.578000029999998</v>
      </c>
      <c r="D55" s="3">
        <v>22.359654020000001</v>
      </c>
      <c r="E55" s="3">
        <v>47.257300430000001</v>
      </c>
      <c r="F55" s="3">
        <v>52.06551142</v>
      </c>
      <c r="G55" s="3">
        <v>6.9968345330000004</v>
      </c>
      <c r="H55" s="3">
        <v>59.062345950000001</v>
      </c>
    </row>
    <row r="56" spans="1:8">
      <c r="A56" t="s">
        <v>66</v>
      </c>
      <c r="B56" t="s">
        <v>63</v>
      </c>
      <c r="C56" s="3">
        <v>23.519396409999999</v>
      </c>
      <c r="D56" s="3">
        <v>26.5583919</v>
      </c>
      <c r="E56" s="3">
        <v>37.572555469999998</v>
      </c>
      <c r="F56" s="3">
        <v>41.473674119999998</v>
      </c>
      <c r="G56" s="3">
        <v>8.4485375699999992</v>
      </c>
      <c r="H56" s="3">
        <v>49.922211689999997</v>
      </c>
    </row>
    <row r="57" spans="1:8">
      <c r="A57" t="s">
        <v>67</v>
      </c>
      <c r="B57" t="s">
        <v>63</v>
      </c>
      <c r="C57" s="3">
        <v>23.519396409999999</v>
      </c>
      <c r="D57" s="3">
        <v>26.5583919</v>
      </c>
      <c r="E57" s="3">
        <v>37.572555469999998</v>
      </c>
      <c r="F57" s="3">
        <v>41.473674119999998</v>
      </c>
      <c r="G57" s="3">
        <v>8.4485375699999992</v>
      </c>
      <c r="H57" s="3">
        <v>49.922211689999997</v>
      </c>
    </row>
    <row r="58" spans="1:8">
      <c r="A58" t="s">
        <v>68</v>
      </c>
      <c r="B58" t="s">
        <v>63</v>
      </c>
      <c r="C58" s="3">
        <v>23.519396409999999</v>
      </c>
      <c r="D58" s="3">
        <v>26.5583919</v>
      </c>
      <c r="E58" s="3">
        <v>37.572555469999998</v>
      </c>
      <c r="F58" s="3">
        <v>41.473674119999998</v>
      </c>
      <c r="G58" s="3">
        <v>8.4485375699999992</v>
      </c>
      <c r="H58" s="3">
        <v>49.922211689999997</v>
      </c>
    </row>
    <row r="59" spans="1:8">
      <c r="A59" t="s">
        <v>69</v>
      </c>
      <c r="B59" t="s">
        <v>63</v>
      </c>
      <c r="C59" s="3">
        <v>21.692663270000001</v>
      </c>
      <c r="D59" s="3">
        <v>26.274284189999999</v>
      </c>
      <c r="E59" s="3">
        <v>37.121939879999999</v>
      </c>
      <c r="F59" s="3">
        <v>40.702339080000002</v>
      </c>
      <c r="G59" s="3">
        <v>11.330713469999999</v>
      </c>
      <c r="H59" s="3">
        <v>52.033052550000001</v>
      </c>
    </row>
    <row r="60" spans="1:8">
      <c r="A60" t="s">
        <v>70</v>
      </c>
      <c r="B60" t="s">
        <v>63</v>
      </c>
      <c r="C60" s="3">
        <v>21.692663270000001</v>
      </c>
      <c r="D60" s="3">
        <v>26.274284189999999</v>
      </c>
      <c r="E60" s="3">
        <v>37.121939879999999</v>
      </c>
      <c r="F60" s="3">
        <v>40.702339080000002</v>
      </c>
      <c r="G60" s="3">
        <v>11.330713469999999</v>
      </c>
      <c r="H60" s="3">
        <v>52.033052550000001</v>
      </c>
    </row>
    <row r="61" spans="1:8">
      <c r="A61" t="s">
        <v>71</v>
      </c>
      <c r="B61" t="s">
        <v>63</v>
      </c>
      <c r="C61" s="3">
        <v>21.692663270000001</v>
      </c>
      <c r="D61" s="3">
        <v>26.274284189999999</v>
      </c>
      <c r="E61" s="3">
        <v>37.121939879999999</v>
      </c>
      <c r="F61" s="3">
        <v>40.702339080000002</v>
      </c>
      <c r="G61" s="3">
        <v>11.330713469999999</v>
      </c>
      <c r="H61" s="3">
        <v>52.033052550000001</v>
      </c>
    </row>
    <row r="62" spans="1:8">
      <c r="A62" t="s">
        <v>72</v>
      </c>
      <c r="B62" t="s">
        <v>63</v>
      </c>
      <c r="C62" s="3">
        <v>24.796892540000002</v>
      </c>
      <c r="D62" s="3">
        <v>30.080365579999999</v>
      </c>
      <c r="E62" s="3">
        <v>29.9044645</v>
      </c>
      <c r="F62" s="3">
        <v>34.476368270000002</v>
      </c>
      <c r="G62" s="3">
        <v>10.646373609999999</v>
      </c>
      <c r="H62" s="3">
        <v>45.122741869999999</v>
      </c>
    </row>
    <row r="63" spans="1:8">
      <c r="A63" t="s">
        <v>73</v>
      </c>
      <c r="B63" t="s">
        <v>63</v>
      </c>
      <c r="C63" s="3">
        <v>24.796892540000002</v>
      </c>
      <c r="D63" s="3">
        <v>30.080365579999999</v>
      </c>
      <c r="E63" s="3">
        <v>29.9044645</v>
      </c>
      <c r="F63" s="3">
        <v>34.476368270000002</v>
      </c>
      <c r="G63" s="3">
        <v>10.646373609999999</v>
      </c>
      <c r="H63" s="3">
        <v>45.122741869999999</v>
      </c>
    </row>
    <row r="64" spans="1:8">
      <c r="A64" t="s">
        <v>74</v>
      </c>
      <c r="B64" t="s">
        <v>63</v>
      </c>
      <c r="C64" s="3">
        <v>24.796892540000002</v>
      </c>
      <c r="D64" s="3">
        <v>30.080365579999999</v>
      </c>
      <c r="E64" s="3">
        <v>29.9044645</v>
      </c>
      <c r="F64" s="3">
        <v>34.476368270000002</v>
      </c>
      <c r="G64" s="3">
        <v>10.646373609999999</v>
      </c>
      <c r="H64" s="3">
        <v>45.122741869999999</v>
      </c>
    </row>
    <row r="65" spans="1:8">
      <c r="A65" t="s">
        <v>75</v>
      </c>
      <c r="B65" t="s">
        <v>63</v>
      </c>
      <c r="C65" s="3">
        <v>20.594558169999999</v>
      </c>
      <c r="D65" s="3">
        <v>28.540322079999999</v>
      </c>
      <c r="E65" s="3">
        <v>34.814542779999996</v>
      </c>
      <c r="F65" s="3">
        <v>38.714213340000001</v>
      </c>
      <c r="G65" s="3">
        <v>12.1509064</v>
      </c>
      <c r="H65" s="3">
        <v>50.865119749999998</v>
      </c>
    </row>
    <row r="66" spans="1:8">
      <c r="A66" t="s">
        <v>76</v>
      </c>
      <c r="B66" t="s">
        <v>63</v>
      </c>
      <c r="C66" s="3">
        <v>20.594558169999999</v>
      </c>
      <c r="D66" s="3">
        <v>28.540322079999999</v>
      </c>
      <c r="E66" s="3">
        <v>34.814542779999996</v>
      </c>
      <c r="F66" s="3">
        <v>38.714213340000001</v>
      </c>
      <c r="G66" s="3">
        <v>12.1509064</v>
      </c>
      <c r="H66" s="3">
        <v>50.865119749999998</v>
      </c>
    </row>
    <row r="67" spans="1:8">
      <c r="A67" t="s">
        <v>77</v>
      </c>
      <c r="B67" t="s">
        <v>63</v>
      </c>
      <c r="C67" s="3">
        <v>20.594558169999999</v>
      </c>
      <c r="D67" s="3">
        <v>28.540322079999999</v>
      </c>
      <c r="E67" s="3">
        <v>34.814542779999996</v>
      </c>
      <c r="F67" s="3">
        <v>38.714213340000001</v>
      </c>
      <c r="G67" s="3">
        <v>12.1509064</v>
      </c>
      <c r="H67" s="3">
        <v>50.865119749999998</v>
      </c>
    </row>
    <row r="68" spans="1:8">
      <c r="A68" t="s">
        <v>78</v>
      </c>
      <c r="B68" t="s">
        <v>63</v>
      </c>
      <c r="C68" s="3">
        <v>23.454955030000001</v>
      </c>
      <c r="D68" s="3">
        <v>32.319542179999999</v>
      </c>
      <c r="E68" s="3">
        <v>29.18079212</v>
      </c>
      <c r="F68" s="3">
        <v>32.5307727</v>
      </c>
      <c r="G68" s="3">
        <v>11.69473009</v>
      </c>
      <c r="H68" s="3">
        <v>44.225502800000001</v>
      </c>
    </row>
    <row r="69" spans="1:8">
      <c r="A69" t="s">
        <v>79</v>
      </c>
      <c r="B69" t="s">
        <v>63</v>
      </c>
      <c r="C69" s="3">
        <v>23.454955030000001</v>
      </c>
      <c r="D69" s="3">
        <v>32.319542179999999</v>
      </c>
      <c r="E69" s="3">
        <v>29.18079212</v>
      </c>
      <c r="F69" s="3">
        <v>32.5307727</v>
      </c>
      <c r="G69" s="3">
        <v>11.69473009</v>
      </c>
      <c r="H69" s="3">
        <v>44.225502800000001</v>
      </c>
    </row>
    <row r="70" spans="1:8">
      <c r="A70" t="s">
        <v>80</v>
      </c>
      <c r="B70" t="s">
        <v>63</v>
      </c>
      <c r="C70">
        <v>23.454955030000001</v>
      </c>
      <c r="D70">
        <v>32.319542179999999</v>
      </c>
      <c r="E70">
        <v>29.18079212</v>
      </c>
      <c r="F70">
        <v>32.5307727</v>
      </c>
      <c r="G70">
        <v>11.69473009</v>
      </c>
      <c r="H70">
        <v>44.225502800000001</v>
      </c>
    </row>
    <row r="71" spans="1:8">
      <c r="A71" t="s">
        <v>81</v>
      </c>
      <c r="B71" t="s">
        <v>63</v>
      </c>
      <c r="C71" s="3">
        <v>19.450856420000001</v>
      </c>
      <c r="D71" s="3">
        <v>22.228636720000001</v>
      </c>
      <c r="E71" s="3">
        <v>45.468179599999999</v>
      </c>
      <c r="F71" s="3">
        <v>49.579334950000003</v>
      </c>
      <c r="G71" s="3">
        <v>8.7411719150000007</v>
      </c>
      <c r="H71" s="3">
        <v>58.320506860000002</v>
      </c>
    </row>
    <row r="72" spans="1:8">
      <c r="A72" t="s">
        <v>82</v>
      </c>
      <c r="B72" t="s">
        <v>63</v>
      </c>
      <c r="C72" s="3">
        <v>19.450856420000001</v>
      </c>
      <c r="D72" s="3">
        <v>22.228636720000001</v>
      </c>
      <c r="E72" s="3">
        <v>45.468179599999999</v>
      </c>
      <c r="F72" s="3">
        <v>49.579334950000003</v>
      </c>
      <c r="G72" s="3">
        <v>8.7411719150000007</v>
      </c>
      <c r="H72" s="3">
        <v>58.320506860000002</v>
      </c>
    </row>
    <row r="73" spans="1:8">
      <c r="A73" t="s">
        <v>83</v>
      </c>
      <c r="B73" t="s">
        <v>63</v>
      </c>
      <c r="C73" s="3">
        <v>19.450856420000001</v>
      </c>
      <c r="D73" s="3">
        <v>22.228636720000001</v>
      </c>
      <c r="E73" s="3">
        <v>45.468179599999999</v>
      </c>
      <c r="F73" s="3">
        <v>49.579334950000003</v>
      </c>
      <c r="G73" s="3">
        <v>8.7411719150000007</v>
      </c>
      <c r="H73" s="3">
        <v>58.320506860000002</v>
      </c>
    </row>
    <row r="74" spans="1:8">
      <c r="A74" t="s">
        <v>84</v>
      </c>
      <c r="B74" t="s">
        <v>63</v>
      </c>
      <c r="C74" s="3">
        <v>23.754398500000001</v>
      </c>
      <c r="D74" s="3">
        <v>29.979235110000001</v>
      </c>
      <c r="E74" s="3">
        <v>30.080454939999999</v>
      </c>
      <c r="F74" s="3">
        <v>33.53709491</v>
      </c>
      <c r="G74" s="3">
        <v>12.72927149</v>
      </c>
      <c r="H74" s="3">
        <v>46.266366390000002</v>
      </c>
    </row>
    <row r="75" spans="1:8">
      <c r="A75" t="s">
        <v>85</v>
      </c>
      <c r="B75" t="s">
        <v>63</v>
      </c>
      <c r="C75" s="3">
        <v>23.754398500000001</v>
      </c>
      <c r="D75" s="3">
        <v>29.979235110000001</v>
      </c>
      <c r="E75" s="3">
        <v>30.080454939999999</v>
      </c>
      <c r="F75" s="3">
        <v>33.53709491</v>
      </c>
      <c r="G75" s="3">
        <v>12.72927149</v>
      </c>
      <c r="H75" s="3">
        <v>46.266366390000002</v>
      </c>
    </row>
    <row r="76" spans="1:8">
      <c r="A76" t="s">
        <v>86</v>
      </c>
      <c r="B76" t="s">
        <v>63</v>
      </c>
      <c r="C76" s="3">
        <v>23.754398500000001</v>
      </c>
      <c r="D76" s="3">
        <v>29.979235110000001</v>
      </c>
      <c r="E76" s="3">
        <v>30.080454939999999</v>
      </c>
      <c r="F76" s="3">
        <v>33.53709491</v>
      </c>
      <c r="G76" s="3">
        <v>12.72927149</v>
      </c>
      <c r="H76" s="3">
        <v>46.266366390000002</v>
      </c>
    </row>
    <row r="77" spans="1:8">
      <c r="A77" t="s">
        <v>87</v>
      </c>
      <c r="B77" t="s">
        <v>63</v>
      </c>
      <c r="C77" s="3">
        <v>21.166472729999999</v>
      </c>
      <c r="D77" s="3">
        <v>29.12096051</v>
      </c>
      <c r="E77" s="3">
        <v>31.445097820000001</v>
      </c>
      <c r="F77" s="3">
        <v>35.503070180000002</v>
      </c>
      <c r="G77" s="3">
        <v>14.20949658</v>
      </c>
      <c r="H77" s="3">
        <v>49.712566760000001</v>
      </c>
    </row>
    <row r="78" spans="1:8">
      <c r="A78" t="s">
        <v>88</v>
      </c>
      <c r="B78" t="s">
        <v>63</v>
      </c>
      <c r="C78" s="3">
        <v>21.166472729999999</v>
      </c>
      <c r="D78" s="3">
        <v>29.12096051</v>
      </c>
      <c r="E78" s="3">
        <v>31.445097820000001</v>
      </c>
      <c r="F78" s="3">
        <v>35.503070180000002</v>
      </c>
      <c r="G78" s="3">
        <v>14.20949658</v>
      </c>
      <c r="H78" s="3">
        <v>49.712566760000001</v>
      </c>
    </row>
    <row r="79" spans="1:8">
      <c r="A79" t="s">
        <v>89</v>
      </c>
      <c r="B79" t="s">
        <v>63</v>
      </c>
      <c r="C79" s="3">
        <v>21.166472729999999</v>
      </c>
      <c r="D79" s="3">
        <v>29.12096051</v>
      </c>
      <c r="E79" s="3">
        <v>31.445097820000001</v>
      </c>
      <c r="F79" s="3">
        <v>35.503070180000002</v>
      </c>
      <c r="G79" s="3">
        <v>14.20949658</v>
      </c>
      <c r="H79" s="3">
        <v>49.712566760000001</v>
      </c>
    </row>
    <row r="80" spans="1:8">
      <c r="A80" t="s">
        <v>90</v>
      </c>
      <c r="B80" t="s">
        <v>63</v>
      </c>
      <c r="C80" s="3">
        <v>21.485468990000001</v>
      </c>
      <c r="D80" s="3">
        <v>29.653464710000002</v>
      </c>
      <c r="E80" s="3">
        <v>31.433477400000001</v>
      </c>
      <c r="F80" s="3">
        <v>35.603635019999999</v>
      </c>
      <c r="G80" s="3">
        <v>13.25743129</v>
      </c>
      <c r="H80" s="3">
        <v>48.861066309999998</v>
      </c>
    </row>
    <row r="81" spans="1:8">
      <c r="A81" t="s">
        <v>91</v>
      </c>
      <c r="B81" t="s">
        <v>63</v>
      </c>
      <c r="C81" s="3">
        <v>21.485468990000001</v>
      </c>
      <c r="D81" s="3">
        <v>29.653464710000002</v>
      </c>
      <c r="E81" s="3">
        <v>31.433477400000001</v>
      </c>
      <c r="F81" s="3">
        <v>35.603635019999999</v>
      </c>
      <c r="G81" s="3">
        <v>13.25743129</v>
      </c>
      <c r="H81" s="3">
        <v>48.861066309999998</v>
      </c>
    </row>
    <row r="82" spans="1:8">
      <c r="A82" t="s">
        <v>92</v>
      </c>
      <c r="B82" t="s">
        <v>63</v>
      </c>
      <c r="C82" s="3">
        <v>21.485468990000001</v>
      </c>
      <c r="D82" s="3">
        <v>29.653464710000002</v>
      </c>
      <c r="E82" s="3">
        <v>31.433477400000001</v>
      </c>
      <c r="F82" s="3">
        <v>35.603635019999999</v>
      </c>
      <c r="G82" s="3">
        <v>13.25743129</v>
      </c>
      <c r="H82" s="3">
        <v>48.861066309999998</v>
      </c>
    </row>
    <row r="83" spans="1:8">
      <c r="A83" t="s">
        <v>93</v>
      </c>
      <c r="B83" t="s">
        <v>63</v>
      </c>
      <c r="C83" s="3">
        <v>23.59202127</v>
      </c>
      <c r="D83" s="3">
        <v>32.641642240000003</v>
      </c>
      <c r="E83" s="3">
        <v>30.97025786</v>
      </c>
      <c r="F83" s="3">
        <v>34.968864539999998</v>
      </c>
      <c r="G83" s="3">
        <v>8.7974719480000001</v>
      </c>
      <c r="H83" s="3">
        <v>43.76633649</v>
      </c>
    </row>
    <row r="84" spans="1:8">
      <c r="A84" t="s">
        <v>94</v>
      </c>
      <c r="B84" t="s">
        <v>63</v>
      </c>
      <c r="C84" s="3">
        <v>23.59202127</v>
      </c>
      <c r="D84" s="3">
        <v>32.641642240000003</v>
      </c>
      <c r="E84" s="3">
        <v>30.97025786</v>
      </c>
      <c r="F84" s="3">
        <v>34.968864539999998</v>
      </c>
      <c r="G84" s="3">
        <v>8.7974719480000001</v>
      </c>
      <c r="H84" s="3">
        <v>43.76633649</v>
      </c>
    </row>
    <row r="85" spans="1:8">
      <c r="A85" t="s">
        <v>95</v>
      </c>
      <c r="B85" t="s">
        <v>63</v>
      </c>
      <c r="C85" s="3">
        <v>23.59202127</v>
      </c>
      <c r="D85" s="3">
        <v>32.641642240000003</v>
      </c>
      <c r="E85" s="3">
        <v>30.97025786</v>
      </c>
      <c r="F85" s="3">
        <v>34.968864539999998</v>
      </c>
      <c r="G85" s="3">
        <v>8.7974719480000001</v>
      </c>
      <c r="H85" s="3">
        <v>43.76633649</v>
      </c>
    </row>
    <row r="86" spans="1:8">
      <c r="A86" t="s">
        <v>96</v>
      </c>
      <c r="B86" t="s">
        <v>63</v>
      </c>
      <c r="C86" s="3">
        <v>24.36942981</v>
      </c>
      <c r="D86" s="3">
        <v>24.364403410000001</v>
      </c>
      <c r="E86" s="3">
        <v>40.464216159999999</v>
      </c>
      <c r="F86" s="3">
        <v>46.190769930000002</v>
      </c>
      <c r="G86" s="3">
        <v>5.0753968609999998</v>
      </c>
      <c r="H86" s="3">
        <v>51.26616679</v>
      </c>
    </row>
    <row r="87" spans="1:8">
      <c r="A87" t="s">
        <v>97</v>
      </c>
      <c r="B87" t="s">
        <v>63</v>
      </c>
      <c r="C87" s="3">
        <v>24.36942981</v>
      </c>
      <c r="D87" s="3">
        <v>24.364403410000001</v>
      </c>
      <c r="E87" s="3">
        <v>40.464216159999999</v>
      </c>
      <c r="F87" s="3">
        <v>46.190769930000002</v>
      </c>
      <c r="G87" s="3">
        <v>5.0753968609999998</v>
      </c>
      <c r="H87" s="3">
        <v>51.26616679</v>
      </c>
    </row>
    <row r="88" spans="1:8">
      <c r="A88" t="s">
        <v>98</v>
      </c>
      <c r="B88" t="s">
        <v>63</v>
      </c>
      <c r="C88" s="3">
        <v>24.36942981</v>
      </c>
      <c r="D88" s="3">
        <v>24.364403410000001</v>
      </c>
      <c r="E88" s="3">
        <v>40.464216159999999</v>
      </c>
      <c r="F88" s="3">
        <v>46.190769930000002</v>
      </c>
      <c r="G88" s="3">
        <v>5.0753968609999998</v>
      </c>
      <c r="H88" s="3">
        <v>51.26616679</v>
      </c>
    </row>
    <row r="89" spans="1:8">
      <c r="A89" t="s">
        <v>99</v>
      </c>
      <c r="B89" t="s">
        <v>63</v>
      </c>
      <c r="C89" s="3">
        <v>24.592580399999999</v>
      </c>
      <c r="D89" s="3">
        <v>22.264656030000001</v>
      </c>
      <c r="E89" s="3">
        <v>41.952853599999997</v>
      </c>
      <c r="F89" s="3">
        <v>48.595677739999999</v>
      </c>
      <c r="G89" s="3">
        <v>4.547085826</v>
      </c>
      <c r="H89" s="3">
        <v>53.14276357</v>
      </c>
    </row>
    <row r="90" spans="1:8">
      <c r="A90" t="s">
        <v>100</v>
      </c>
      <c r="B90" t="s">
        <v>63</v>
      </c>
      <c r="C90" s="3">
        <v>24.592580399999999</v>
      </c>
      <c r="D90" s="3">
        <v>22.264656030000001</v>
      </c>
      <c r="E90" s="3">
        <v>41.952853599999997</v>
      </c>
      <c r="F90" s="3">
        <v>48.595677739999999</v>
      </c>
      <c r="G90" s="3">
        <v>4.547085826</v>
      </c>
      <c r="H90" s="3">
        <v>53.14276357</v>
      </c>
    </row>
    <row r="91" spans="1:8">
      <c r="A91" t="s">
        <v>101</v>
      </c>
      <c r="B91" t="s">
        <v>63</v>
      </c>
      <c r="C91" s="3">
        <v>24.592580399999999</v>
      </c>
      <c r="D91" s="3">
        <v>22.264656030000001</v>
      </c>
      <c r="E91" s="3">
        <v>41.952853599999997</v>
      </c>
      <c r="F91" s="3">
        <v>48.595677739999999</v>
      </c>
      <c r="G91" s="3">
        <v>4.547085826</v>
      </c>
      <c r="H91" s="3">
        <v>53.14276357</v>
      </c>
    </row>
    <row r="92" spans="1:8">
      <c r="A92" t="s">
        <v>102</v>
      </c>
      <c r="B92" t="s">
        <v>63</v>
      </c>
      <c r="C92" s="3">
        <v>24.921933760000002</v>
      </c>
      <c r="D92" s="3">
        <v>19.791390799999999</v>
      </c>
      <c r="E92" s="3">
        <v>43.725637489999997</v>
      </c>
      <c r="F92" s="3">
        <v>51.672067679999998</v>
      </c>
      <c r="G92" s="3">
        <v>3.6146077669999999</v>
      </c>
      <c r="H92" s="3">
        <v>55.286675440000003</v>
      </c>
    </row>
    <row r="93" spans="1:8">
      <c r="A93" t="s">
        <v>103</v>
      </c>
      <c r="B93" t="s">
        <v>63</v>
      </c>
      <c r="C93" s="3">
        <v>24.921933760000002</v>
      </c>
      <c r="D93" s="3">
        <v>19.791390799999999</v>
      </c>
      <c r="E93" s="3">
        <v>43.725637489999997</v>
      </c>
      <c r="F93" s="3">
        <v>51.672067679999998</v>
      </c>
      <c r="G93" s="3">
        <v>3.6146077669999999</v>
      </c>
      <c r="H93" s="3">
        <v>55.286675440000003</v>
      </c>
    </row>
    <row r="94" spans="1:8">
      <c r="A94" t="s">
        <v>104</v>
      </c>
      <c r="B94" t="s">
        <v>63</v>
      </c>
      <c r="C94" s="3">
        <v>24.921933760000002</v>
      </c>
      <c r="D94" s="3">
        <v>19.791390799999999</v>
      </c>
      <c r="E94" s="3">
        <v>43.725637489999997</v>
      </c>
      <c r="F94" s="3">
        <v>51.672067679999998</v>
      </c>
      <c r="G94" s="3">
        <v>3.6146077669999999</v>
      </c>
      <c r="H94" s="3">
        <v>55.286675440000003</v>
      </c>
    </row>
    <row r="95" spans="1:8">
      <c r="A95" t="s">
        <v>105</v>
      </c>
      <c r="B95" t="s">
        <v>63</v>
      </c>
      <c r="C95" s="3">
        <v>24.483876389999999</v>
      </c>
      <c r="D95" s="3">
        <v>20.60969223</v>
      </c>
      <c r="E95" s="3">
        <v>45.157397400000001</v>
      </c>
      <c r="F95" s="3">
        <v>51.116637429999997</v>
      </c>
      <c r="G95" s="3">
        <v>3.78979395</v>
      </c>
      <c r="H95" s="3">
        <v>54.906431380000001</v>
      </c>
    </row>
    <row r="96" spans="1:8">
      <c r="A96" t="s">
        <v>106</v>
      </c>
      <c r="B96" t="s">
        <v>63</v>
      </c>
      <c r="C96" s="3">
        <v>24.483876389999999</v>
      </c>
      <c r="D96" s="3">
        <v>20.60969223</v>
      </c>
      <c r="E96" s="3">
        <v>45.157397400000001</v>
      </c>
      <c r="F96" s="3">
        <v>51.116637429999997</v>
      </c>
      <c r="G96" s="3">
        <v>3.78979395</v>
      </c>
      <c r="H96" s="3">
        <v>54.906431380000001</v>
      </c>
    </row>
    <row r="97" spans="1:8">
      <c r="A97" t="s">
        <v>107</v>
      </c>
      <c r="B97" t="s">
        <v>63</v>
      </c>
      <c r="C97" s="3">
        <v>24.483876389999999</v>
      </c>
      <c r="D97" s="3">
        <v>20.60969223</v>
      </c>
      <c r="E97" s="3">
        <v>45.157397400000001</v>
      </c>
      <c r="F97" s="3">
        <v>51.116637429999997</v>
      </c>
      <c r="G97" s="3">
        <v>3.78979395</v>
      </c>
      <c r="H97" s="3">
        <v>54.906431380000001</v>
      </c>
    </row>
    <row r="98" spans="1:8">
      <c r="A98" t="s">
        <v>108</v>
      </c>
      <c r="B98" t="s">
        <v>63</v>
      </c>
      <c r="C98" s="3">
        <v>24.712760549999999</v>
      </c>
      <c r="D98" s="3">
        <v>19.787542739999999</v>
      </c>
      <c r="E98" s="3">
        <v>44.488868930000002</v>
      </c>
      <c r="F98" s="3">
        <v>52.211895830000003</v>
      </c>
      <c r="G98" s="3">
        <v>3.2878008840000001</v>
      </c>
      <c r="H98" s="3">
        <v>55.499696710000002</v>
      </c>
    </row>
    <row r="99" spans="1:8">
      <c r="A99" t="s">
        <v>109</v>
      </c>
      <c r="B99" t="s">
        <v>63</v>
      </c>
      <c r="C99" s="3">
        <v>24.712760549999999</v>
      </c>
      <c r="D99" s="3">
        <v>19.787542739999999</v>
      </c>
      <c r="E99" s="3">
        <v>44.488868930000002</v>
      </c>
      <c r="F99" s="3">
        <v>52.211895830000003</v>
      </c>
      <c r="G99" s="3">
        <v>3.2878008840000001</v>
      </c>
      <c r="H99" s="3">
        <v>55.499696710000002</v>
      </c>
    </row>
    <row r="100" spans="1:8">
      <c r="A100" t="s">
        <v>110</v>
      </c>
      <c r="B100" t="s">
        <v>63</v>
      </c>
      <c r="C100" s="3">
        <v>24.712760549999999</v>
      </c>
      <c r="D100" s="3">
        <v>19.787542739999999</v>
      </c>
      <c r="E100" s="3">
        <v>44.488868930000002</v>
      </c>
      <c r="F100" s="3">
        <v>52.211895830000003</v>
      </c>
      <c r="G100" s="3">
        <v>3.2878008840000001</v>
      </c>
      <c r="H100" s="3">
        <v>55.499696710000002</v>
      </c>
    </row>
    <row r="101" spans="1:8">
      <c r="A101" t="s">
        <v>111</v>
      </c>
      <c r="B101" t="s">
        <v>63</v>
      </c>
      <c r="C101" s="3">
        <v>23.164139160000001</v>
      </c>
      <c r="D101" s="3">
        <v>15.14360638</v>
      </c>
      <c r="E101" s="3">
        <v>50.236236529999999</v>
      </c>
      <c r="F101" s="3">
        <v>58.712301619999998</v>
      </c>
      <c r="G101" s="3">
        <v>2.9799528300000002</v>
      </c>
      <c r="H101" s="3">
        <v>61.69225445</v>
      </c>
    </row>
    <row r="102" spans="1:8">
      <c r="A102" t="s">
        <v>112</v>
      </c>
      <c r="B102" t="s">
        <v>63</v>
      </c>
      <c r="C102" s="3">
        <v>23.164139160000001</v>
      </c>
      <c r="D102" s="3">
        <v>15.14360638</v>
      </c>
      <c r="E102" s="3">
        <v>50.236236529999999</v>
      </c>
      <c r="F102" s="3">
        <v>58.712301619999998</v>
      </c>
      <c r="G102" s="3">
        <v>2.9799528300000002</v>
      </c>
      <c r="H102" s="3">
        <v>61.69225445</v>
      </c>
    </row>
    <row r="103" spans="1:8">
      <c r="A103" t="s">
        <v>113</v>
      </c>
      <c r="B103" t="s">
        <v>63</v>
      </c>
      <c r="C103" s="3">
        <v>23.164139160000001</v>
      </c>
      <c r="D103" s="3">
        <v>15.14360638</v>
      </c>
      <c r="E103" s="3">
        <v>50.236236529999999</v>
      </c>
      <c r="F103" s="3">
        <v>58.712301619999998</v>
      </c>
      <c r="G103" s="3">
        <v>2.9799528300000002</v>
      </c>
      <c r="H103" s="3">
        <v>61.69225445</v>
      </c>
    </row>
    <row r="104" spans="1:8">
      <c r="A104" t="s">
        <v>114</v>
      </c>
      <c r="B104" t="s">
        <v>63</v>
      </c>
      <c r="C104" s="3">
        <v>22.020346379999999</v>
      </c>
      <c r="D104" s="3">
        <v>16.703369899999998</v>
      </c>
      <c r="E104" s="3">
        <v>47.069140279999999</v>
      </c>
      <c r="F104" s="3">
        <v>57.414949720000003</v>
      </c>
      <c r="G104" s="3">
        <v>3.8613340049999998</v>
      </c>
      <c r="H104" s="3">
        <v>61.276283720000002</v>
      </c>
    </row>
    <row r="105" spans="1:8">
      <c r="A105" t="s">
        <v>115</v>
      </c>
      <c r="B105" t="s">
        <v>63</v>
      </c>
      <c r="C105" s="3">
        <v>22.020346379999999</v>
      </c>
      <c r="D105" s="3">
        <v>16.703369899999998</v>
      </c>
      <c r="E105" s="3">
        <v>47.069140279999999</v>
      </c>
      <c r="F105" s="3">
        <v>57.414949720000003</v>
      </c>
      <c r="G105" s="3">
        <v>3.8613340049999998</v>
      </c>
      <c r="H105" s="3">
        <v>61.276283720000002</v>
      </c>
    </row>
    <row r="106" spans="1:8">
      <c r="A106" t="s">
        <v>116</v>
      </c>
      <c r="B106" t="s">
        <v>63</v>
      </c>
      <c r="C106" s="3">
        <v>22.020346379999999</v>
      </c>
      <c r="D106" s="3">
        <v>16.703369899999998</v>
      </c>
      <c r="E106" s="3">
        <v>47.069140279999999</v>
      </c>
      <c r="F106" s="3">
        <v>57.414949720000003</v>
      </c>
      <c r="G106" s="3">
        <v>3.8613340049999998</v>
      </c>
      <c r="H106" s="3">
        <v>61.276283720000002</v>
      </c>
    </row>
    <row r="107" spans="1:8">
      <c r="A107" t="s">
        <v>117</v>
      </c>
      <c r="B107" t="s">
        <v>118</v>
      </c>
      <c r="C107" s="3">
        <v>20.50265379</v>
      </c>
      <c r="D107" s="3">
        <v>19.608142789999999</v>
      </c>
      <c r="E107" s="3">
        <v>45.106073510000002</v>
      </c>
      <c r="F107" s="3">
        <v>56.570614970000001</v>
      </c>
      <c r="G107" s="3">
        <v>3.3185884510000001</v>
      </c>
      <c r="H107" s="3">
        <v>59.889203420000001</v>
      </c>
    </row>
    <row r="108" spans="1:8">
      <c r="A108" t="s">
        <v>119</v>
      </c>
      <c r="B108" t="s">
        <v>118</v>
      </c>
      <c r="C108" s="3">
        <v>20.50265379</v>
      </c>
      <c r="D108" s="3">
        <v>19.608142789999999</v>
      </c>
      <c r="E108" s="3">
        <v>45.106073510000002</v>
      </c>
      <c r="F108" s="3">
        <v>56.570614970000001</v>
      </c>
      <c r="G108" s="3">
        <v>3.3185884510000001</v>
      </c>
      <c r="H108" s="3">
        <v>59.889203420000001</v>
      </c>
    </row>
    <row r="109" spans="1:8">
      <c r="A109" t="s">
        <v>120</v>
      </c>
      <c r="B109" t="s">
        <v>118</v>
      </c>
      <c r="C109" s="3">
        <v>20.50265379</v>
      </c>
      <c r="D109" s="3">
        <v>19.608142789999999</v>
      </c>
      <c r="E109" s="3">
        <v>45.106073510000002</v>
      </c>
      <c r="F109" s="3">
        <v>56.570614970000001</v>
      </c>
      <c r="G109" s="3">
        <v>3.3185884510000001</v>
      </c>
      <c r="H109" s="3">
        <v>59.889203420000001</v>
      </c>
    </row>
    <row r="110" spans="1:8">
      <c r="A110" t="s">
        <v>121</v>
      </c>
      <c r="B110" t="s">
        <v>118</v>
      </c>
      <c r="C110" s="3">
        <v>24.308734999999999</v>
      </c>
      <c r="D110" s="3">
        <v>23.891068270000002</v>
      </c>
      <c r="E110" s="3">
        <v>38.229462400000003</v>
      </c>
      <c r="F110" s="3">
        <v>47.969822469999997</v>
      </c>
      <c r="G110" s="3">
        <v>3.8303742590000001</v>
      </c>
      <c r="H110" s="3">
        <v>51.800196730000003</v>
      </c>
    </row>
    <row r="111" spans="1:8">
      <c r="A111" t="s">
        <v>122</v>
      </c>
      <c r="B111" t="s">
        <v>118</v>
      </c>
      <c r="C111" s="3">
        <v>24.308734999999999</v>
      </c>
      <c r="D111" s="3">
        <v>23.891068270000002</v>
      </c>
      <c r="E111" s="3">
        <v>38.229462400000003</v>
      </c>
      <c r="F111" s="3">
        <v>47.969822469999997</v>
      </c>
      <c r="G111" s="3">
        <v>3.8303742590000001</v>
      </c>
      <c r="H111" s="3">
        <v>51.800196730000003</v>
      </c>
    </row>
    <row r="112" spans="1:8">
      <c r="A112" t="s">
        <v>123</v>
      </c>
      <c r="B112" t="s">
        <v>118</v>
      </c>
      <c r="C112" s="3">
        <v>24.308734999999999</v>
      </c>
      <c r="D112" s="3">
        <v>23.891068270000002</v>
      </c>
      <c r="E112" s="3">
        <v>38.229462400000003</v>
      </c>
      <c r="F112" s="3">
        <v>47.969822469999997</v>
      </c>
      <c r="G112" s="3">
        <v>3.8303742590000001</v>
      </c>
      <c r="H112" s="3">
        <v>51.800196730000003</v>
      </c>
    </row>
    <row r="113" spans="1:8">
      <c r="A113" t="s">
        <v>124</v>
      </c>
      <c r="B113" t="s">
        <v>118</v>
      </c>
      <c r="C113" s="3">
        <v>24.894471039999999</v>
      </c>
      <c r="D113" s="3">
        <v>26.451197029999999</v>
      </c>
      <c r="E113" s="3">
        <v>35.810258279999999</v>
      </c>
      <c r="F113" s="3">
        <v>44.729819149999997</v>
      </c>
      <c r="G113" s="3">
        <v>3.9245127759999998</v>
      </c>
      <c r="H113" s="3">
        <v>48.654331929999998</v>
      </c>
    </row>
    <row r="114" spans="1:8">
      <c r="A114" t="s">
        <v>125</v>
      </c>
      <c r="B114" t="s">
        <v>118</v>
      </c>
      <c r="C114" s="3">
        <v>24.894471039999999</v>
      </c>
      <c r="D114" s="3">
        <v>26.451197029999999</v>
      </c>
      <c r="E114" s="3">
        <v>35.810258279999999</v>
      </c>
      <c r="F114" s="3">
        <v>44.729819149999997</v>
      </c>
      <c r="G114" s="3">
        <v>3.9245127759999998</v>
      </c>
      <c r="H114" s="3">
        <v>48.654331929999998</v>
      </c>
    </row>
    <row r="115" spans="1:8">
      <c r="A115" t="s">
        <v>126</v>
      </c>
      <c r="B115" t="s">
        <v>118</v>
      </c>
      <c r="C115" s="3">
        <v>24.894471039999999</v>
      </c>
      <c r="D115" s="3">
        <v>26.451197029999999</v>
      </c>
      <c r="E115" s="3">
        <v>35.810258279999999</v>
      </c>
      <c r="F115" s="3">
        <v>44.729819149999997</v>
      </c>
      <c r="G115" s="3">
        <v>3.9245127759999998</v>
      </c>
      <c r="H115" s="3">
        <v>48.654331929999998</v>
      </c>
    </row>
    <row r="116" spans="1:8">
      <c r="A116" t="s">
        <v>127</v>
      </c>
      <c r="B116" t="s">
        <v>118</v>
      </c>
      <c r="C116" s="3">
        <v>22.90260348</v>
      </c>
      <c r="D116" s="3">
        <v>26.208844840000001</v>
      </c>
      <c r="E116" s="3">
        <v>32.785597359999997</v>
      </c>
      <c r="F116" s="3">
        <v>48.486615700000002</v>
      </c>
      <c r="G116" s="3">
        <v>2.4019359759999999</v>
      </c>
      <c r="H116" s="3">
        <v>50.888551669999998</v>
      </c>
    </row>
    <row r="117" spans="1:8">
      <c r="A117" t="s">
        <v>128</v>
      </c>
      <c r="B117" t="s">
        <v>118</v>
      </c>
      <c r="C117" s="3">
        <v>22.90260348</v>
      </c>
      <c r="D117" s="3">
        <v>26.208844840000001</v>
      </c>
      <c r="E117" s="3">
        <v>32.785597359999997</v>
      </c>
      <c r="F117" s="3">
        <v>48.486615700000002</v>
      </c>
      <c r="G117" s="3">
        <v>2.4019359759999999</v>
      </c>
      <c r="H117" s="3">
        <v>50.888551669999998</v>
      </c>
    </row>
    <row r="118" spans="1:8">
      <c r="A118" t="s">
        <v>129</v>
      </c>
      <c r="B118" t="s">
        <v>118</v>
      </c>
      <c r="C118" s="3">
        <v>22.90260348</v>
      </c>
      <c r="D118" s="3">
        <v>26.208844840000001</v>
      </c>
      <c r="E118" s="3">
        <v>32.785597359999997</v>
      </c>
      <c r="F118" s="3">
        <v>48.486615700000002</v>
      </c>
      <c r="G118" s="3">
        <v>2.4019359759999999</v>
      </c>
      <c r="H118" s="3">
        <v>50.888551669999998</v>
      </c>
    </row>
    <row r="119" spans="1:8">
      <c r="A119" t="s">
        <v>130</v>
      </c>
      <c r="B119" t="s">
        <v>118</v>
      </c>
      <c r="C119" s="3">
        <v>23.28082625</v>
      </c>
      <c r="D119" s="3">
        <v>24.89954882</v>
      </c>
      <c r="E119" s="3">
        <v>31.276677060000001</v>
      </c>
      <c r="F119" s="3">
        <v>49.550823250000001</v>
      </c>
      <c r="G119" s="3">
        <v>2.268801668</v>
      </c>
      <c r="H119" s="3">
        <v>51.819624920000003</v>
      </c>
    </row>
    <row r="120" spans="1:8">
      <c r="A120" t="s">
        <v>131</v>
      </c>
      <c r="B120" t="s">
        <v>118</v>
      </c>
      <c r="C120" s="3">
        <v>23.28082625</v>
      </c>
      <c r="D120" s="3">
        <v>24.89954882</v>
      </c>
      <c r="E120" s="3">
        <v>31.276677060000001</v>
      </c>
      <c r="F120" s="3">
        <v>49.550823250000001</v>
      </c>
      <c r="G120" s="3">
        <v>2.268801668</v>
      </c>
      <c r="H120" s="3">
        <v>51.819624920000003</v>
      </c>
    </row>
    <row r="121" spans="1:8">
      <c r="A121" t="s">
        <v>132</v>
      </c>
      <c r="B121" t="s">
        <v>118</v>
      </c>
      <c r="C121" s="3">
        <v>23.28082625</v>
      </c>
      <c r="D121" s="3">
        <v>24.89954882</v>
      </c>
      <c r="E121" s="3">
        <v>31.276677060000001</v>
      </c>
      <c r="F121" s="3">
        <v>49.550823250000001</v>
      </c>
      <c r="G121" s="3">
        <v>2.268801668</v>
      </c>
      <c r="H121" s="3">
        <v>51.819624920000003</v>
      </c>
    </row>
    <row r="122" spans="1:8">
      <c r="A122" t="s">
        <v>133</v>
      </c>
      <c r="B122" t="s">
        <v>118</v>
      </c>
      <c r="C122" s="3">
        <v>25.833261</v>
      </c>
      <c r="D122" s="3">
        <v>26.073825599999999</v>
      </c>
      <c r="E122" s="3">
        <v>28.888942879999998</v>
      </c>
      <c r="F122" s="3">
        <v>47.182140169999997</v>
      </c>
      <c r="G122" s="3">
        <v>0.91077322299999997</v>
      </c>
      <c r="H122" s="3">
        <v>48.09291339</v>
      </c>
    </row>
    <row r="123" spans="1:8">
      <c r="A123" t="s">
        <v>134</v>
      </c>
      <c r="B123" t="s">
        <v>118</v>
      </c>
      <c r="C123" s="3">
        <v>25.833261</v>
      </c>
      <c r="D123" s="3">
        <v>26.073825599999999</v>
      </c>
      <c r="E123" s="3">
        <v>28.888942879999998</v>
      </c>
      <c r="F123" s="3">
        <v>47.182140169999997</v>
      </c>
      <c r="G123" s="3">
        <v>0.91077322299999997</v>
      </c>
      <c r="H123" s="3">
        <v>48.09291339</v>
      </c>
    </row>
    <row r="124" spans="1:8">
      <c r="A124" t="s">
        <v>135</v>
      </c>
      <c r="B124" t="s">
        <v>118</v>
      </c>
      <c r="C124" s="3">
        <v>25.833261</v>
      </c>
      <c r="D124" s="3">
        <v>26.073825599999999</v>
      </c>
      <c r="E124" s="3">
        <v>28.888942879999998</v>
      </c>
      <c r="F124" s="3">
        <v>47.182140169999997</v>
      </c>
      <c r="G124" s="3">
        <v>0.91077322299999997</v>
      </c>
      <c r="H124" s="3">
        <v>48.09291339</v>
      </c>
    </row>
    <row r="125" spans="1:8">
      <c r="A125" t="s">
        <v>136</v>
      </c>
      <c r="B125" t="s">
        <v>118</v>
      </c>
      <c r="C125" s="3">
        <v>20.746918520000001</v>
      </c>
      <c r="D125" s="3">
        <v>21.299005609999998</v>
      </c>
      <c r="E125" s="3">
        <v>36.316409419999999</v>
      </c>
      <c r="F125" s="3">
        <v>56.495980869999997</v>
      </c>
      <c r="G125" s="3">
        <v>1.458094988</v>
      </c>
      <c r="H125" s="3">
        <v>57.954075860000003</v>
      </c>
    </row>
    <row r="126" spans="1:8">
      <c r="A126" t="s">
        <v>137</v>
      </c>
      <c r="B126" t="s">
        <v>118</v>
      </c>
      <c r="C126" s="3">
        <v>20.746918520000001</v>
      </c>
      <c r="D126" s="3">
        <v>21.299005609999998</v>
      </c>
      <c r="E126" s="3">
        <v>36.316409419999999</v>
      </c>
      <c r="F126" s="3">
        <v>56.495980869999997</v>
      </c>
      <c r="G126" s="3">
        <v>1.458094988</v>
      </c>
      <c r="H126" s="3">
        <v>57.954075860000003</v>
      </c>
    </row>
    <row r="127" spans="1:8">
      <c r="A127" t="s">
        <v>138</v>
      </c>
      <c r="B127" t="s">
        <v>118</v>
      </c>
      <c r="C127" s="3">
        <v>20.746918520000001</v>
      </c>
      <c r="D127" s="3">
        <v>21.299005609999998</v>
      </c>
      <c r="E127" s="3">
        <v>36.316409419999999</v>
      </c>
      <c r="F127" s="3">
        <v>56.495980869999997</v>
      </c>
      <c r="G127" s="3">
        <v>1.458094988</v>
      </c>
      <c r="H127" s="3">
        <v>57.954075860000003</v>
      </c>
    </row>
    <row r="128" spans="1:8">
      <c r="A128" t="s">
        <v>139</v>
      </c>
      <c r="B128" t="s">
        <v>118</v>
      </c>
      <c r="C128" s="3">
        <v>21.97617876</v>
      </c>
      <c r="D128" s="3">
        <v>27.985345120000002</v>
      </c>
      <c r="E128" s="3">
        <v>25.967936550000001</v>
      </c>
      <c r="F128" s="3">
        <v>49.40536058</v>
      </c>
      <c r="G128" s="3">
        <v>0.63311554199999998</v>
      </c>
      <c r="H128" s="3">
        <v>50.038476119999999</v>
      </c>
    </row>
    <row r="129" spans="1:8">
      <c r="A129" t="s">
        <v>140</v>
      </c>
      <c r="B129" t="s">
        <v>118</v>
      </c>
      <c r="C129" s="3">
        <v>21.97617876</v>
      </c>
      <c r="D129" s="3">
        <v>27.985345120000002</v>
      </c>
      <c r="E129" s="3">
        <v>25.967936550000001</v>
      </c>
      <c r="F129" s="3">
        <v>49.40536058</v>
      </c>
      <c r="G129" s="3">
        <v>0.63311554199999998</v>
      </c>
      <c r="H129" s="3">
        <v>50.038476119999999</v>
      </c>
    </row>
    <row r="130" spans="1:8">
      <c r="A130" t="s">
        <v>141</v>
      </c>
      <c r="B130" t="s">
        <v>118</v>
      </c>
      <c r="C130" s="3">
        <v>21.97617876</v>
      </c>
      <c r="D130" s="3">
        <v>27.985345120000002</v>
      </c>
      <c r="E130" s="3">
        <v>25.967936550000001</v>
      </c>
      <c r="F130" s="3">
        <v>49.40536058</v>
      </c>
      <c r="G130" s="3">
        <v>0.63311554199999998</v>
      </c>
      <c r="H130" s="3">
        <v>50.038476119999999</v>
      </c>
    </row>
    <row r="131" spans="1:8">
      <c r="A131" t="s">
        <v>142</v>
      </c>
      <c r="B131" t="s">
        <v>118</v>
      </c>
      <c r="C131" s="3">
        <v>19.49417497</v>
      </c>
      <c r="D131" s="3">
        <v>21.66910588</v>
      </c>
      <c r="E131" s="3">
        <v>36.08435918</v>
      </c>
      <c r="F131" s="3">
        <v>57.192694500000002</v>
      </c>
      <c r="G131" s="3">
        <v>1.6440246510000001</v>
      </c>
      <c r="H131" s="3">
        <v>58.83671915</v>
      </c>
    </row>
    <row r="132" spans="1:8">
      <c r="A132" t="s">
        <v>143</v>
      </c>
      <c r="B132" t="s">
        <v>118</v>
      </c>
      <c r="C132" s="3">
        <v>19.49417497</v>
      </c>
      <c r="D132" s="3">
        <v>21.66910588</v>
      </c>
      <c r="E132" s="3">
        <v>36.08435918</v>
      </c>
      <c r="F132" s="3">
        <v>57.192694500000002</v>
      </c>
      <c r="G132" s="3">
        <v>1.6440246510000001</v>
      </c>
      <c r="H132" s="3">
        <v>58.83671915</v>
      </c>
    </row>
    <row r="133" spans="1:8">
      <c r="A133" t="s">
        <v>144</v>
      </c>
      <c r="B133" t="s">
        <v>118</v>
      </c>
      <c r="C133" s="3">
        <v>19.49417497</v>
      </c>
      <c r="D133" s="3">
        <v>21.66910588</v>
      </c>
      <c r="E133" s="3">
        <v>36.08435918</v>
      </c>
      <c r="F133" s="3">
        <v>57.192694500000002</v>
      </c>
      <c r="G133" s="3">
        <v>1.6440246510000001</v>
      </c>
      <c r="H133" s="3">
        <v>58.83671915</v>
      </c>
    </row>
    <row r="134" spans="1:8">
      <c r="A134" t="s">
        <v>145</v>
      </c>
      <c r="B134" t="s">
        <v>118</v>
      </c>
      <c r="C134" s="3">
        <v>26.410481740000002</v>
      </c>
      <c r="D134" s="3">
        <v>25.210681269999998</v>
      </c>
      <c r="E134" s="3">
        <v>26.671337990000001</v>
      </c>
      <c r="F134" s="3">
        <v>45.086183820000002</v>
      </c>
      <c r="G134" s="3">
        <v>3.2926531699999999</v>
      </c>
      <c r="H134" s="3">
        <v>48.378836990000003</v>
      </c>
    </row>
    <row r="135" spans="1:8">
      <c r="A135" t="s">
        <v>146</v>
      </c>
      <c r="B135" t="s">
        <v>118</v>
      </c>
      <c r="C135" s="3">
        <v>26.410481740000002</v>
      </c>
      <c r="D135" s="3">
        <v>25.210681269999998</v>
      </c>
      <c r="E135" s="3">
        <v>26.671337990000001</v>
      </c>
      <c r="F135" s="3">
        <v>45.086183820000002</v>
      </c>
      <c r="G135" s="3">
        <v>3.2926531699999999</v>
      </c>
      <c r="H135" s="3">
        <v>48.378836990000003</v>
      </c>
    </row>
    <row r="136" spans="1:8">
      <c r="A136" t="s">
        <v>147</v>
      </c>
      <c r="B136" t="s">
        <v>118</v>
      </c>
      <c r="C136" s="3">
        <v>26.410481740000002</v>
      </c>
      <c r="D136" s="3">
        <v>25.210681269999998</v>
      </c>
      <c r="E136" s="3">
        <v>26.671337990000001</v>
      </c>
      <c r="F136" s="3">
        <v>45.086183820000002</v>
      </c>
      <c r="G136" s="3">
        <v>3.2926531699999999</v>
      </c>
      <c r="H136" s="3">
        <v>48.378836990000003</v>
      </c>
    </row>
    <row r="137" spans="1:8">
      <c r="A137" t="s">
        <v>148</v>
      </c>
      <c r="B137" t="s">
        <v>118</v>
      </c>
      <c r="C137" s="3">
        <v>24.553643520000001</v>
      </c>
      <c r="D137" s="3">
        <v>23.893460560000001</v>
      </c>
      <c r="E137" s="3">
        <v>28.70725968</v>
      </c>
      <c r="F137" s="3">
        <v>49.130529369999998</v>
      </c>
      <c r="G137" s="3">
        <v>2.4223665460000001</v>
      </c>
      <c r="H137" s="3">
        <v>51.552895919999997</v>
      </c>
    </row>
    <row r="138" spans="1:8">
      <c r="A138" t="s">
        <v>149</v>
      </c>
      <c r="B138" t="s">
        <v>118</v>
      </c>
      <c r="C138" s="3">
        <v>24.553643520000001</v>
      </c>
      <c r="D138" s="3">
        <v>23.893460560000001</v>
      </c>
      <c r="E138" s="3">
        <v>28.70725968</v>
      </c>
      <c r="F138" s="3">
        <v>49.130529369999998</v>
      </c>
      <c r="G138" s="3">
        <v>2.4223665460000001</v>
      </c>
      <c r="H138" s="3">
        <v>51.552895919999997</v>
      </c>
    </row>
    <row r="139" spans="1:8">
      <c r="A139" t="s">
        <v>150</v>
      </c>
      <c r="B139" t="s">
        <v>118</v>
      </c>
      <c r="C139" s="3">
        <v>24.553643520000001</v>
      </c>
      <c r="D139" s="3">
        <v>23.893460560000001</v>
      </c>
      <c r="E139" s="3">
        <v>28.70725968</v>
      </c>
      <c r="F139" s="3">
        <v>49.130529369999998</v>
      </c>
      <c r="G139" s="3">
        <v>2.4223665460000001</v>
      </c>
      <c r="H139" s="3">
        <v>51.552895919999997</v>
      </c>
    </row>
    <row r="140" spans="1:8">
      <c r="A140" t="s">
        <v>151</v>
      </c>
      <c r="B140" t="s">
        <v>118</v>
      </c>
      <c r="C140" s="3">
        <v>24.27194836</v>
      </c>
      <c r="D140" s="3">
        <v>22.157050770000001</v>
      </c>
      <c r="E140" s="3">
        <v>34.357126610000002</v>
      </c>
      <c r="F140" s="3">
        <v>51.037035099999997</v>
      </c>
      <c r="G140" s="3">
        <v>2.5339657710000001</v>
      </c>
      <c r="H140" s="3">
        <v>53.57100088</v>
      </c>
    </row>
    <row r="141" spans="1:8">
      <c r="A141" t="s">
        <v>152</v>
      </c>
      <c r="B141" t="s">
        <v>118</v>
      </c>
      <c r="C141" s="3">
        <v>24.27194836</v>
      </c>
      <c r="D141" s="3">
        <v>22.157050770000001</v>
      </c>
      <c r="E141" s="3">
        <v>34.357126610000002</v>
      </c>
      <c r="F141" s="3">
        <v>51.037035099999997</v>
      </c>
      <c r="G141" s="3">
        <v>2.5339657710000001</v>
      </c>
      <c r="H141" s="3">
        <v>53.57100088</v>
      </c>
    </row>
    <row r="142" spans="1:8">
      <c r="A142" t="s">
        <v>153</v>
      </c>
      <c r="B142" t="s">
        <v>118</v>
      </c>
      <c r="C142" s="3">
        <v>24.27194836</v>
      </c>
      <c r="D142" s="3">
        <v>22.157050770000001</v>
      </c>
      <c r="E142" s="3">
        <v>34.357126610000002</v>
      </c>
      <c r="F142" s="3">
        <v>51.037035099999997</v>
      </c>
      <c r="G142" s="3">
        <v>2.5339657710000001</v>
      </c>
      <c r="H142" s="3">
        <v>53.57100088</v>
      </c>
    </row>
    <row r="143" spans="1:8">
      <c r="A143" t="s">
        <v>154</v>
      </c>
      <c r="B143" t="s">
        <v>118</v>
      </c>
      <c r="C143" s="3">
        <v>23.709015480000001</v>
      </c>
      <c r="D143" s="3">
        <v>20.025229599999999</v>
      </c>
      <c r="E143" s="3">
        <v>42.420592390000003</v>
      </c>
      <c r="F143" s="3">
        <v>53.138429989999999</v>
      </c>
      <c r="G143" s="3">
        <v>3.1273249239999998</v>
      </c>
      <c r="H143" s="3">
        <v>56.265754919999999</v>
      </c>
    </row>
    <row r="144" spans="1:8">
      <c r="A144" t="s">
        <v>155</v>
      </c>
      <c r="B144" t="s">
        <v>118</v>
      </c>
      <c r="C144" s="3">
        <v>23.709015480000001</v>
      </c>
      <c r="D144" s="3">
        <v>20.025229599999999</v>
      </c>
      <c r="E144" s="3">
        <v>42.420592390000003</v>
      </c>
      <c r="F144" s="3">
        <v>53.138429989999999</v>
      </c>
      <c r="G144" s="3">
        <v>3.1273249239999998</v>
      </c>
      <c r="H144" s="3">
        <v>56.265754919999999</v>
      </c>
    </row>
    <row r="145" spans="1:8">
      <c r="A145" t="s">
        <v>156</v>
      </c>
      <c r="B145" t="s">
        <v>118</v>
      </c>
      <c r="C145" s="3">
        <v>23.709015480000001</v>
      </c>
      <c r="D145" s="3">
        <v>20.025229599999999</v>
      </c>
      <c r="E145" s="3">
        <v>42.420592390000003</v>
      </c>
      <c r="F145" s="3">
        <v>53.138429989999999</v>
      </c>
      <c r="G145" s="3">
        <v>3.1273249239999998</v>
      </c>
      <c r="H145" s="3">
        <v>56.265754919999999</v>
      </c>
    </row>
    <row r="146" spans="1:8">
      <c r="A146" t="s">
        <v>157</v>
      </c>
      <c r="B146" t="s">
        <v>118</v>
      </c>
      <c r="C146" s="3">
        <v>23.194736850000002</v>
      </c>
      <c r="D146" s="3">
        <v>14.844330279999999</v>
      </c>
      <c r="E146" s="3">
        <v>49.345131109999997</v>
      </c>
      <c r="F146" s="3">
        <v>59.92179204</v>
      </c>
      <c r="G146" s="3">
        <v>2.0391408310000001</v>
      </c>
      <c r="H146" s="3">
        <v>61.960932870000001</v>
      </c>
    </row>
    <row r="147" spans="1:8">
      <c r="A147" t="s">
        <v>158</v>
      </c>
      <c r="B147" t="s">
        <v>118</v>
      </c>
      <c r="C147" s="3">
        <v>23.194736850000002</v>
      </c>
      <c r="D147" s="3">
        <v>14.844330279999999</v>
      </c>
      <c r="E147" s="3">
        <v>49.345131109999997</v>
      </c>
      <c r="F147" s="3">
        <v>59.92179204</v>
      </c>
      <c r="G147" s="3">
        <v>2.0391408310000001</v>
      </c>
      <c r="H147" s="3">
        <v>61.960932870000001</v>
      </c>
    </row>
    <row r="148" spans="1:8">
      <c r="A148" t="s">
        <v>159</v>
      </c>
      <c r="B148" t="s">
        <v>118</v>
      </c>
      <c r="C148" s="3">
        <v>23.194736850000002</v>
      </c>
      <c r="D148" s="3">
        <v>14.844330279999999</v>
      </c>
      <c r="E148" s="3">
        <v>49.345131109999997</v>
      </c>
      <c r="F148" s="3">
        <v>59.92179204</v>
      </c>
      <c r="G148" s="3">
        <v>2.0391408310000001</v>
      </c>
      <c r="H148" s="3">
        <v>61.960932870000001</v>
      </c>
    </row>
    <row r="149" spans="1:8">
      <c r="A149" t="s">
        <v>160</v>
      </c>
      <c r="B149" t="s">
        <v>118</v>
      </c>
      <c r="C149" s="3">
        <v>23.461487170000002</v>
      </c>
      <c r="D149" s="3">
        <v>17.283652310000001</v>
      </c>
      <c r="E149" s="3">
        <v>46.492553450000003</v>
      </c>
      <c r="F149" s="3">
        <v>56.999732160000001</v>
      </c>
      <c r="G149" s="3">
        <v>2.255128365</v>
      </c>
      <c r="H149" s="3">
        <v>59.254860530000002</v>
      </c>
    </row>
    <row r="150" spans="1:8">
      <c r="A150" t="s">
        <v>161</v>
      </c>
      <c r="B150" t="s">
        <v>118</v>
      </c>
      <c r="C150" s="3">
        <v>23.461487170000002</v>
      </c>
      <c r="D150" s="3">
        <v>17.283652310000001</v>
      </c>
      <c r="E150" s="3">
        <v>46.492553450000003</v>
      </c>
      <c r="F150" s="3">
        <v>56.999732160000001</v>
      </c>
      <c r="G150" s="3">
        <v>2.255128365</v>
      </c>
      <c r="H150" s="3">
        <v>59.254860530000002</v>
      </c>
    </row>
    <row r="151" spans="1:8">
      <c r="A151" t="s">
        <v>162</v>
      </c>
      <c r="B151" t="s">
        <v>118</v>
      </c>
      <c r="C151" s="3">
        <v>23.461487170000002</v>
      </c>
      <c r="D151" s="3">
        <v>17.283652310000001</v>
      </c>
      <c r="E151" s="3">
        <v>46.492553450000003</v>
      </c>
      <c r="F151" s="3">
        <v>56.999732160000001</v>
      </c>
      <c r="G151" s="3">
        <v>2.255128365</v>
      </c>
      <c r="H151" s="3">
        <v>59.254860530000002</v>
      </c>
    </row>
    <row r="152" spans="1:8">
      <c r="A152" t="s">
        <v>163</v>
      </c>
      <c r="B152" t="s">
        <v>118</v>
      </c>
      <c r="C152" s="3">
        <v>23.613364059999999</v>
      </c>
      <c r="D152" s="3">
        <v>18.28226226</v>
      </c>
      <c r="E152" s="3">
        <v>46.066848520000001</v>
      </c>
      <c r="F152" s="3">
        <v>57.363026480000002</v>
      </c>
      <c r="G152" s="3">
        <v>0.74134718799999999</v>
      </c>
      <c r="H152" s="3">
        <v>58.104373670000001</v>
      </c>
    </row>
    <row r="153" spans="1:8">
      <c r="A153" t="s">
        <v>164</v>
      </c>
      <c r="B153" t="s">
        <v>118</v>
      </c>
      <c r="C153" s="3">
        <v>23.613364059999999</v>
      </c>
      <c r="D153" s="3">
        <v>18.28226226</v>
      </c>
      <c r="E153" s="3">
        <v>46.066848520000001</v>
      </c>
      <c r="F153" s="3">
        <v>57.363026480000002</v>
      </c>
      <c r="G153" s="3">
        <v>0.74134718799999999</v>
      </c>
      <c r="H153" s="3">
        <v>58.104373670000001</v>
      </c>
    </row>
    <row r="154" spans="1:8">
      <c r="A154" t="s">
        <v>165</v>
      </c>
      <c r="B154" t="s">
        <v>118</v>
      </c>
      <c r="C154" s="3">
        <v>23.613364059999999</v>
      </c>
      <c r="D154" s="3">
        <v>18.28226226</v>
      </c>
      <c r="E154" s="3">
        <v>46.066848520000001</v>
      </c>
      <c r="F154" s="3">
        <v>57.363026480000002</v>
      </c>
      <c r="G154" s="3">
        <v>0.74134718799999999</v>
      </c>
      <c r="H154" s="3">
        <v>58.104373670000001</v>
      </c>
    </row>
    <row r="155" spans="1:8">
      <c r="A155" t="s">
        <v>166</v>
      </c>
      <c r="B155" t="s">
        <v>118</v>
      </c>
      <c r="C155" s="3">
        <v>23.340408060000001</v>
      </c>
      <c r="D155" s="3">
        <v>19.71310802</v>
      </c>
      <c r="E155" s="3">
        <v>44.204034450000002</v>
      </c>
      <c r="F155" s="3">
        <v>56.299570500000002</v>
      </c>
      <c r="G155" s="3">
        <v>0.64691341599999996</v>
      </c>
      <c r="H155" s="3">
        <v>56.946483919999999</v>
      </c>
    </row>
    <row r="156" spans="1:8">
      <c r="A156" t="s">
        <v>167</v>
      </c>
      <c r="B156" t="s">
        <v>118</v>
      </c>
      <c r="C156" s="3">
        <v>23.340408060000001</v>
      </c>
      <c r="D156" s="3">
        <v>19.71310802</v>
      </c>
      <c r="E156" s="3">
        <v>44.204034450000002</v>
      </c>
      <c r="F156" s="3">
        <v>56.299570500000002</v>
      </c>
      <c r="G156" s="3">
        <v>0.64691341599999996</v>
      </c>
      <c r="H156" s="3">
        <v>56.946483919999999</v>
      </c>
    </row>
    <row r="157" spans="1:8">
      <c r="A157" t="s">
        <v>168</v>
      </c>
      <c r="B157" t="s">
        <v>118</v>
      </c>
      <c r="C157" s="3">
        <v>23.340408060000001</v>
      </c>
      <c r="D157" s="3">
        <v>19.71310802</v>
      </c>
      <c r="E157" s="3">
        <v>44.204034450000002</v>
      </c>
      <c r="F157" s="3">
        <v>56.299570500000002</v>
      </c>
      <c r="G157" s="3">
        <v>0.64691341599999996</v>
      </c>
      <c r="H157" s="3">
        <v>56.946483919999999</v>
      </c>
    </row>
    <row r="158" spans="1:8">
      <c r="A158" t="s">
        <v>169</v>
      </c>
      <c r="B158" t="s">
        <v>118</v>
      </c>
      <c r="C158" s="3">
        <v>23.434764399999999</v>
      </c>
      <c r="D158" s="3">
        <v>17.365714130000001</v>
      </c>
      <c r="E158" s="3">
        <v>47.119786079999997</v>
      </c>
      <c r="F158" s="3">
        <v>58.638318810000001</v>
      </c>
      <c r="G158" s="3">
        <v>0.56120265499999999</v>
      </c>
      <c r="H158" s="3">
        <v>59.199521470000001</v>
      </c>
    </row>
    <row r="159" spans="1:8">
      <c r="A159" t="s">
        <v>170</v>
      </c>
      <c r="B159" t="s">
        <v>118</v>
      </c>
      <c r="C159" s="3">
        <v>23.434764399999999</v>
      </c>
      <c r="D159" s="3">
        <v>17.365714130000001</v>
      </c>
      <c r="E159" s="3">
        <v>47.119786079999997</v>
      </c>
      <c r="F159" s="3">
        <v>58.638318810000001</v>
      </c>
      <c r="G159" s="3">
        <v>0.56120265499999999</v>
      </c>
      <c r="H159" s="3">
        <v>59.199521470000001</v>
      </c>
    </row>
    <row r="160" spans="1:8">
      <c r="A160" t="s">
        <v>171</v>
      </c>
      <c r="B160" t="s">
        <v>118</v>
      </c>
      <c r="C160" s="3">
        <v>23.434764399999999</v>
      </c>
      <c r="D160" s="3">
        <v>17.365714130000001</v>
      </c>
      <c r="E160" s="3">
        <v>47.119786079999997</v>
      </c>
      <c r="F160" s="3">
        <v>58.638318810000001</v>
      </c>
      <c r="G160" s="3">
        <v>0.56120265499999999</v>
      </c>
      <c r="H160" s="3">
        <v>59.199521470000001</v>
      </c>
    </row>
    <row r="161" spans="1:8">
      <c r="A161" t="s">
        <v>172</v>
      </c>
      <c r="B161" t="s">
        <v>118</v>
      </c>
      <c r="C161" s="3">
        <v>25.695097929999999</v>
      </c>
      <c r="D161" s="3">
        <v>18.91396662</v>
      </c>
      <c r="E161" s="3">
        <v>43.872778660000002</v>
      </c>
      <c r="F161" s="3">
        <v>55.022759069999999</v>
      </c>
      <c r="G161" s="3">
        <v>0.368176383</v>
      </c>
      <c r="H161" s="3">
        <v>55.390935450000001</v>
      </c>
    </row>
    <row r="162" spans="1:8">
      <c r="A162" t="s">
        <v>173</v>
      </c>
      <c r="B162" t="s">
        <v>118</v>
      </c>
      <c r="C162" s="3">
        <v>25.695097929999999</v>
      </c>
      <c r="D162" s="3">
        <v>18.91396662</v>
      </c>
      <c r="E162" s="3">
        <v>43.872778660000002</v>
      </c>
      <c r="F162" s="3">
        <v>55.022759069999999</v>
      </c>
      <c r="G162" s="3">
        <v>0.368176383</v>
      </c>
      <c r="H162" s="3">
        <v>55.390935450000001</v>
      </c>
    </row>
    <row r="163" spans="1:8">
      <c r="A163" t="s">
        <v>174</v>
      </c>
      <c r="B163" t="s">
        <v>118</v>
      </c>
      <c r="C163" s="3">
        <v>25.695097929999999</v>
      </c>
      <c r="D163" s="3">
        <v>18.91396662</v>
      </c>
      <c r="E163" s="3">
        <v>43.872778660000002</v>
      </c>
      <c r="F163" s="3">
        <v>55.022759069999999</v>
      </c>
      <c r="G163" s="3">
        <v>0.368176383</v>
      </c>
      <c r="H163" s="3">
        <v>55.390935450000001</v>
      </c>
    </row>
    <row r="164" spans="1:8">
      <c r="A164" t="s">
        <v>175</v>
      </c>
      <c r="B164" t="s">
        <v>118</v>
      </c>
      <c r="C164" s="3">
        <v>22.793788899999999</v>
      </c>
      <c r="D164" s="3">
        <v>19.914771030000001</v>
      </c>
      <c r="E164" s="3">
        <v>45.703948709999999</v>
      </c>
      <c r="F164" s="3">
        <v>56.892888720000002</v>
      </c>
      <c r="G164" s="3">
        <v>0.398551341</v>
      </c>
      <c r="H164" s="3">
        <v>57.291440059999999</v>
      </c>
    </row>
    <row r="165" spans="1:8">
      <c r="A165" t="s">
        <v>176</v>
      </c>
      <c r="B165" t="s">
        <v>118</v>
      </c>
      <c r="C165" s="3">
        <v>22.793788899999999</v>
      </c>
      <c r="D165" s="3">
        <v>19.914771030000001</v>
      </c>
      <c r="E165" s="3">
        <v>45.703948709999999</v>
      </c>
      <c r="F165" s="3">
        <v>56.892888720000002</v>
      </c>
      <c r="G165" s="3">
        <v>0.398551341</v>
      </c>
      <c r="H165" s="3">
        <v>57.291440059999999</v>
      </c>
    </row>
    <row r="166" spans="1:8">
      <c r="A166" t="s">
        <v>177</v>
      </c>
      <c r="B166" t="s">
        <v>118</v>
      </c>
      <c r="C166" s="3">
        <v>22.793788899999999</v>
      </c>
      <c r="D166" s="3">
        <v>19.914771030000001</v>
      </c>
      <c r="E166" s="3">
        <v>45.703948709999999</v>
      </c>
      <c r="F166" s="3">
        <v>56.892888720000002</v>
      </c>
      <c r="G166" s="3">
        <v>0.398551341</v>
      </c>
      <c r="H166" s="3">
        <v>57.291440059999999</v>
      </c>
    </row>
    <row r="167" spans="1:8">
      <c r="A167" t="s">
        <v>178</v>
      </c>
      <c r="B167" t="s">
        <v>179</v>
      </c>
      <c r="C167" s="3">
        <v>19.003695319999999</v>
      </c>
      <c r="D167" s="3">
        <v>26.1987454</v>
      </c>
      <c r="E167" s="3">
        <v>41.064055379999999</v>
      </c>
      <c r="F167" s="3">
        <v>45.616237699999999</v>
      </c>
      <c r="G167" s="3">
        <v>9.1813215849999992</v>
      </c>
      <c r="H167" s="3">
        <v>54.797559280000002</v>
      </c>
    </row>
    <row r="168" spans="1:8">
      <c r="A168" t="s">
        <v>180</v>
      </c>
      <c r="B168" t="s">
        <v>179</v>
      </c>
      <c r="C168" s="3">
        <v>19.003695319999999</v>
      </c>
      <c r="D168" s="3">
        <v>26.1987454</v>
      </c>
      <c r="E168" s="3">
        <v>41.064055379999999</v>
      </c>
      <c r="F168" s="3">
        <v>45.616237699999999</v>
      </c>
      <c r="G168" s="3">
        <v>9.1813215849999992</v>
      </c>
      <c r="H168" s="3">
        <v>54.797559280000002</v>
      </c>
    </row>
    <row r="169" spans="1:8">
      <c r="A169" t="s">
        <v>181</v>
      </c>
      <c r="B169" t="s">
        <v>179</v>
      </c>
      <c r="C169" s="3">
        <v>19.003695319999999</v>
      </c>
      <c r="D169" s="3">
        <v>26.1987454</v>
      </c>
      <c r="E169" s="3">
        <v>41.064055379999999</v>
      </c>
      <c r="F169" s="3">
        <v>45.616237699999999</v>
      </c>
      <c r="G169" s="3">
        <v>9.1813215849999992</v>
      </c>
      <c r="H169" s="3">
        <v>54.797559280000002</v>
      </c>
    </row>
    <row r="170" spans="1:8">
      <c r="A170" t="s">
        <v>182</v>
      </c>
      <c r="B170" t="s">
        <v>179</v>
      </c>
      <c r="C170" s="3">
        <v>18.014819110000001</v>
      </c>
      <c r="D170" s="3">
        <v>32.674228450000001</v>
      </c>
      <c r="E170" s="3">
        <v>34.76982692</v>
      </c>
      <c r="F170" s="3">
        <v>38.343591789999998</v>
      </c>
      <c r="G170" s="3">
        <v>10.967360640000001</v>
      </c>
      <c r="H170" s="3">
        <v>49.31095243</v>
      </c>
    </row>
    <row r="171" spans="1:8">
      <c r="A171" t="s">
        <v>183</v>
      </c>
      <c r="B171" t="s">
        <v>179</v>
      </c>
      <c r="C171" s="3">
        <v>18.014819110000001</v>
      </c>
      <c r="D171" s="3">
        <v>32.674228450000001</v>
      </c>
      <c r="E171" s="3">
        <v>34.76982692</v>
      </c>
      <c r="F171" s="3">
        <v>38.343591789999998</v>
      </c>
      <c r="G171" s="3">
        <v>10.967360640000001</v>
      </c>
      <c r="H171" s="3">
        <v>49.31095243</v>
      </c>
    </row>
    <row r="172" spans="1:8">
      <c r="A172" t="s">
        <v>184</v>
      </c>
      <c r="B172" t="s">
        <v>179</v>
      </c>
      <c r="C172" s="3">
        <v>18.014819110000001</v>
      </c>
      <c r="D172" s="3">
        <v>32.674228450000001</v>
      </c>
      <c r="E172" s="3">
        <v>34.76982692</v>
      </c>
      <c r="F172" s="3">
        <v>38.343591789999998</v>
      </c>
      <c r="G172" s="3">
        <v>10.967360640000001</v>
      </c>
      <c r="H172" s="3">
        <v>49.31095243</v>
      </c>
    </row>
    <row r="173" spans="1:8">
      <c r="A173" t="s">
        <v>185</v>
      </c>
      <c r="B173" t="s">
        <v>179</v>
      </c>
      <c r="C173" s="3">
        <v>19.482381709999999</v>
      </c>
      <c r="D173" s="3">
        <v>30.87696811</v>
      </c>
      <c r="E173" s="3">
        <v>35.740140799999999</v>
      </c>
      <c r="F173" s="3">
        <v>39.196877999999998</v>
      </c>
      <c r="G173" s="3">
        <v>10.44377218</v>
      </c>
      <c r="H173" s="3">
        <v>49.640650180000002</v>
      </c>
    </row>
    <row r="174" spans="1:8">
      <c r="A174" t="s">
        <v>186</v>
      </c>
      <c r="B174" t="s">
        <v>179</v>
      </c>
      <c r="C174" s="3">
        <v>19.482381709999999</v>
      </c>
      <c r="D174" s="3">
        <v>30.87696811</v>
      </c>
      <c r="E174" s="3">
        <v>35.740140799999999</v>
      </c>
      <c r="F174" s="3">
        <v>39.196877999999998</v>
      </c>
      <c r="G174" s="3">
        <v>10.44377218</v>
      </c>
      <c r="H174" s="3">
        <v>49.640650180000002</v>
      </c>
    </row>
    <row r="175" spans="1:8">
      <c r="A175" t="s">
        <v>187</v>
      </c>
      <c r="B175" t="s">
        <v>179</v>
      </c>
      <c r="C175" s="3">
        <v>19.482381709999999</v>
      </c>
      <c r="D175" s="3">
        <v>30.87696811</v>
      </c>
      <c r="E175" s="3">
        <v>35.740140799999999</v>
      </c>
      <c r="F175" s="3">
        <v>39.196877999999998</v>
      </c>
      <c r="G175" s="3">
        <v>10.44377218</v>
      </c>
      <c r="H175" s="3">
        <v>49.640650180000002</v>
      </c>
    </row>
    <row r="176" spans="1:8">
      <c r="A176" t="s">
        <v>188</v>
      </c>
      <c r="B176" t="s">
        <v>189</v>
      </c>
      <c r="C176" s="3">
        <v>20.171560624999998</v>
      </c>
      <c r="D176" s="3">
        <v>23.139747849999999</v>
      </c>
      <c r="E176" s="3">
        <v>44.927913390000001</v>
      </c>
      <c r="F176" s="3">
        <v>53.864189875000001</v>
      </c>
      <c r="G176" s="3">
        <v>2.8245016495000002</v>
      </c>
      <c r="H176" s="3">
        <v>56.688691524999996</v>
      </c>
    </row>
    <row r="177" spans="1:8">
      <c r="A177" t="s">
        <v>190</v>
      </c>
      <c r="B177" t="s">
        <v>189</v>
      </c>
      <c r="C177" s="3">
        <v>20.171560624999998</v>
      </c>
      <c r="D177" s="3">
        <v>23.139747849999999</v>
      </c>
      <c r="E177" s="3">
        <v>44.927913390000001</v>
      </c>
      <c r="F177" s="3">
        <v>53.864189875000001</v>
      </c>
      <c r="G177" s="3">
        <v>2.8245016495000002</v>
      </c>
      <c r="H177" s="3">
        <v>56.688691524999996</v>
      </c>
    </row>
    <row r="178" spans="1:8">
      <c r="A178" t="s">
        <v>191</v>
      </c>
      <c r="B178" t="s">
        <v>189</v>
      </c>
      <c r="C178" s="3">
        <v>20.171560624999998</v>
      </c>
      <c r="D178" s="3">
        <v>23.139747849999999</v>
      </c>
      <c r="E178" s="3">
        <v>44.927913390000001</v>
      </c>
      <c r="F178" s="3">
        <v>53.864189875000001</v>
      </c>
      <c r="G178" s="3">
        <v>2.8245016495000002</v>
      </c>
      <c r="H178" s="3">
        <v>56.688691524999996</v>
      </c>
    </row>
    <row r="179" spans="1:8">
      <c r="A179" t="s">
        <v>192</v>
      </c>
      <c r="B179" t="s">
        <v>189</v>
      </c>
      <c r="C179" s="3">
        <v>17.695045830000002</v>
      </c>
      <c r="D179" s="3">
        <v>19.235227559999998</v>
      </c>
      <c r="E179" s="3">
        <v>51.617461609999999</v>
      </c>
      <c r="F179" s="3">
        <v>60.802893789999999</v>
      </c>
      <c r="G179" s="3">
        <v>2.2668328249999998</v>
      </c>
      <c r="H179" s="3">
        <v>63.069726619999997</v>
      </c>
    </row>
    <row r="180" spans="1:8">
      <c r="A180" t="s">
        <v>193</v>
      </c>
      <c r="B180" t="s">
        <v>189</v>
      </c>
      <c r="C180" s="3">
        <v>17.695045830000002</v>
      </c>
      <c r="D180" s="3">
        <v>19.235227559999998</v>
      </c>
      <c r="E180" s="3">
        <v>51.617461609999999</v>
      </c>
      <c r="F180" s="3">
        <v>60.802893789999999</v>
      </c>
      <c r="G180" s="3">
        <v>2.2668328249999998</v>
      </c>
      <c r="H180" s="3">
        <v>63.069726619999997</v>
      </c>
    </row>
    <row r="181" spans="1:8">
      <c r="A181" t="s">
        <v>194</v>
      </c>
      <c r="B181" t="s">
        <v>189</v>
      </c>
      <c r="C181" s="3">
        <v>17.695045830000002</v>
      </c>
      <c r="D181" s="3">
        <v>19.235227559999998</v>
      </c>
      <c r="E181" s="3">
        <v>51.617461609999999</v>
      </c>
      <c r="F181" s="3">
        <v>60.802893789999999</v>
      </c>
      <c r="G181" s="3">
        <v>2.2668328249999998</v>
      </c>
      <c r="H181" s="3">
        <v>63.069726619999997</v>
      </c>
    </row>
    <row r="182" spans="1:8">
      <c r="A182" t="s">
        <v>195</v>
      </c>
      <c r="B182" t="s">
        <v>189</v>
      </c>
      <c r="C182" s="3">
        <v>19.061649379999999</v>
      </c>
      <c r="D182" s="3">
        <v>20.419466355000001</v>
      </c>
      <c r="E182" s="3">
        <v>49.016410989999997</v>
      </c>
      <c r="F182" s="3">
        <v>57.386198840000006</v>
      </c>
      <c r="G182" s="3">
        <v>3.1326854239999999</v>
      </c>
      <c r="H182" s="3">
        <v>60.518884264999997</v>
      </c>
    </row>
    <row r="183" spans="1:8">
      <c r="A183" t="s">
        <v>196</v>
      </c>
      <c r="B183" t="s">
        <v>189</v>
      </c>
      <c r="C183" s="3">
        <v>19.061649379999999</v>
      </c>
      <c r="D183" s="3">
        <v>20.419466355000001</v>
      </c>
      <c r="E183" s="3">
        <v>49.016410989999997</v>
      </c>
      <c r="F183" s="3">
        <v>57.386198840000006</v>
      </c>
      <c r="G183" s="3">
        <v>3.1326854239999999</v>
      </c>
      <c r="H183" s="3">
        <v>60.518884264999997</v>
      </c>
    </row>
    <row r="184" spans="1:8">
      <c r="A184" t="s">
        <v>197</v>
      </c>
      <c r="B184" t="s">
        <v>189</v>
      </c>
      <c r="C184">
        <v>19.061649379999999</v>
      </c>
      <c r="D184">
        <v>20.419466355000001</v>
      </c>
      <c r="E184">
        <v>49.016410989999997</v>
      </c>
      <c r="F184">
        <v>57.386198840000006</v>
      </c>
      <c r="G184">
        <v>3.1326854239999999</v>
      </c>
      <c r="H184">
        <v>60.518884264999997</v>
      </c>
    </row>
    <row r="185" spans="1:8">
      <c r="A185" t="s">
        <v>198</v>
      </c>
      <c r="B185" t="s">
        <v>189</v>
      </c>
      <c r="C185" s="3">
        <v>19.577159330000001</v>
      </c>
      <c r="D185" s="3">
        <v>25.311516180000002</v>
      </c>
      <c r="E185" s="3">
        <v>43.046029900000001</v>
      </c>
      <c r="F185" s="3">
        <v>50.440223240000002</v>
      </c>
      <c r="G185" s="3">
        <v>4.6711012500000004</v>
      </c>
      <c r="H185" s="3">
        <v>55.111324490000001</v>
      </c>
    </row>
    <row r="186" spans="1:8">
      <c r="A186" t="s">
        <v>199</v>
      </c>
      <c r="B186" t="s">
        <v>189</v>
      </c>
      <c r="C186" s="3">
        <v>19.577159330000001</v>
      </c>
      <c r="D186" s="3">
        <v>25.311516180000002</v>
      </c>
      <c r="E186" s="3">
        <v>43.046029900000001</v>
      </c>
      <c r="F186" s="3">
        <v>50.440223240000002</v>
      </c>
      <c r="G186" s="3">
        <v>4.6711012500000004</v>
      </c>
      <c r="H186" s="3">
        <v>55.111324490000001</v>
      </c>
    </row>
    <row r="187" spans="1:8">
      <c r="A187" t="s">
        <v>200</v>
      </c>
      <c r="B187" t="s">
        <v>189</v>
      </c>
      <c r="C187" s="3">
        <v>19.577159330000001</v>
      </c>
      <c r="D187" s="3">
        <v>25.311516180000002</v>
      </c>
      <c r="E187" s="3">
        <v>43.046029900000001</v>
      </c>
      <c r="F187" s="3">
        <v>50.440223240000002</v>
      </c>
      <c r="G187" s="3">
        <v>4.6711012500000004</v>
      </c>
      <c r="H187" s="3">
        <v>55.111324490000001</v>
      </c>
    </row>
    <row r="188" spans="1:8">
      <c r="A188" t="s">
        <v>201</v>
      </c>
      <c r="B188" t="s">
        <v>189</v>
      </c>
      <c r="C188" s="3">
        <v>20.80739823</v>
      </c>
      <c r="D188" s="3">
        <v>23.991960729999999</v>
      </c>
      <c r="E188" s="3">
        <v>44.542354250000002</v>
      </c>
      <c r="F188" s="3">
        <v>51.058554440000002</v>
      </c>
      <c r="G188" s="3">
        <v>4.1420865950000003</v>
      </c>
      <c r="H188" s="3">
        <v>55.200641040000001</v>
      </c>
    </row>
    <row r="189" spans="1:8">
      <c r="A189" t="s">
        <v>202</v>
      </c>
      <c r="B189" t="s">
        <v>189</v>
      </c>
      <c r="C189" s="3">
        <v>20.80739823</v>
      </c>
      <c r="D189" s="3">
        <v>23.991960729999999</v>
      </c>
      <c r="E189" s="3">
        <v>44.542354250000002</v>
      </c>
      <c r="F189" s="3">
        <v>51.058554440000002</v>
      </c>
      <c r="G189" s="3">
        <v>4.1420865950000003</v>
      </c>
      <c r="H189" s="3">
        <v>55.200641040000001</v>
      </c>
    </row>
    <row r="190" spans="1:8">
      <c r="A190" t="s">
        <v>203</v>
      </c>
      <c r="B190" t="s">
        <v>189</v>
      </c>
      <c r="C190" s="3">
        <v>20.80739823</v>
      </c>
      <c r="D190" s="3">
        <v>23.991960729999999</v>
      </c>
      <c r="E190" s="3">
        <v>44.542354250000002</v>
      </c>
      <c r="F190" s="3">
        <v>51.058554440000002</v>
      </c>
      <c r="G190" s="3">
        <v>4.1420865950000003</v>
      </c>
      <c r="H190" s="3">
        <v>55.200641040000001</v>
      </c>
    </row>
    <row r="191" spans="1:8">
      <c r="A191" t="s">
        <v>204</v>
      </c>
      <c r="B191" t="s">
        <v>189</v>
      </c>
      <c r="C191" s="3">
        <v>18.061052579999998</v>
      </c>
      <c r="D191" s="3">
        <v>26.36568918</v>
      </c>
      <c r="E191" s="3">
        <v>42.576577729999997</v>
      </c>
      <c r="F191" s="3">
        <v>49.437853050000001</v>
      </c>
      <c r="G191" s="3">
        <v>6.1354051849999998</v>
      </c>
      <c r="H191" s="3">
        <v>55.573258240000001</v>
      </c>
    </row>
    <row r="192" spans="1:8">
      <c r="A192" t="s">
        <v>205</v>
      </c>
      <c r="B192" t="s">
        <v>189</v>
      </c>
      <c r="C192" s="3">
        <v>18.061052579999998</v>
      </c>
      <c r="D192" s="3">
        <v>26.36568918</v>
      </c>
      <c r="E192" s="3">
        <v>42.576577729999997</v>
      </c>
      <c r="F192" s="3">
        <v>49.437853050000001</v>
      </c>
      <c r="G192" s="3">
        <v>6.1354051849999998</v>
      </c>
      <c r="H192" s="3">
        <v>55.573258240000001</v>
      </c>
    </row>
    <row r="193" spans="1:37">
      <c r="A193" t="s">
        <v>206</v>
      </c>
      <c r="B193" t="s">
        <v>189</v>
      </c>
      <c r="C193" s="3">
        <v>18.061052579999998</v>
      </c>
      <c r="D193" s="3">
        <v>26.36568918</v>
      </c>
      <c r="E193" s="3">
        <v>42.576577729999997</v>
      </c>
      <c r="F193" s="3">
        <v>49.437853050000001</v>
      </c>
      <c r="G193" s="3">
        <v>6.1354051849999998</v>
      </c>
      <c r="H193" s="3">
        <v>55.573258240000001</v>
      </c>
    </row>
    <row r="194" spans="1:37">
      <c r="A194" t="s">
        <v>207</v>
      </c>
      <c r="B194" t="s">
        <v>189</v>
      </c>
      <c r="C194" s="3">
        <v>20.341314310000001</v>
      </c>
      <c r="D194" s="3">
        <v>22.689256060000002</v>
      </c>
      <c r="E194" s="3">
        <v>44.244644299999997</v>
      </c>
      <c r="F194" s="3">
        <v>52.333296660000002</v>
      </c>
      <c r="G194" s="3">
        <v>4.6361329639999997</v>
      </c>
      <c r="H194" s="3">
        <v>56.96942963</v>
      </c>
    </row>
    <row r="195" spans="1:37">
      <c r="A195" t="s">
        <v>208</v>
      </c>
      <c r="B195" t="s">
        <v>189</v>
      </c>
      <c r="C195" s="3">
        <v>20.341314310000001</v>
      </c>
      <c r="D195" s="3">
        <v>22.689256060000002</v>
      </c>
      <c r="E195" s="3">
        <v>44.244644299999997</v>
      </c>
      <c r="F195" s="3">
        <v>52.333296660000002</v>
      </c>
      <c r="G195" s="3">
        <v>4.6361329639999997</v>
      </c>
      <c r="H195" s="3">
        <v>56.96942963</v>
      </c>
    </row>
    <row r="196" spans="1:37">
      <c r="A196" t="s">
        <v>209</v>
      </c>
      <c r="B196" t="s">
        <v>189</v>
      </c>
      <c r="C196" s="3">
        <v>20.341314310000001</v>
      </c>
      <c r="D196" s="3">
        <v>22.689256060000002</v>
      </c>
      <c r="E196" s="3">
        <v>44.244644299999997</v>
      </c>
      <c r="F196" s="3">
        <v>52.333296660000002</v>
      </c>
      <c r="G196" s="3">
        <v>4.6361329639999997</v>
      </c>
      <c r="H196" s="3">
        <v>56.96942963</v>
      </c>
    </row>
    <row r="197" spans="1:37">
      <c r="A197" t="s">
        <v>210</v>
      </c>
      <c r="B197" t="s">
        <v>189</v>
      </c>
      <c r="C197" s="3">
        <v>18.362510149999999</v>
      </c>
      <c r="D197" s="3">
        <v>21.034513910000001</v>
      </c>
      <c r="E197" s="3">
        <v>46.942218910000001</v>
      </c>
      <c r="F197" s="3">
        <v>55.78394033</v>
      </c>
      <c r="G197" s="3">
        <v>4.8190356129999996</v>
      </c>
      <c r="H197" s="3">
        <v>60.60297594</v>
      </c>
    </row>
    <row r="198" spans="1:37">
      <c r="A198" t="s">
        <v>211</v>
      </c>
      <c r="B198" t="s">
        <v>189</v>
      </c>
      <c r="C198" s="3">
        <v>18.362510149999999</v>
      </c>
      <c r="D198" s="3">
        <v>21.034513910000001</v>
      </c>
      <c r="E198" s="3">
        <v>46.942218910000001</v>
      </c>
      <c r="F198" s="3">
        <v>55.78394033</v>
      </c>
      <c r="G198" s="3">
        <v>4.8190356129999996</v>
      </c>
      <c r="H198" s="3">
        <v>60.60297594</v>
      </c>
    </row>
    <row r="199" spans="1:37">
      <c r="A199" t="s">
        <v>212</v>
      </c>
      <c r="B199" t="s">
        <v>189</v>
      </c>
      <c r="C199" s="3">
        <v>18.362510149999999</v>
      </c>
      <c r="D199" s="3">
        <v>21.034513910000001</v>
      </c>
      <c r="E199" s="3">
        <v>46.942218910000001</v>
      </c>
      <c r="F199" s="3">
        <v>55.78394033</v>
      </c>
      <c r="G199" s="3">
        <v>4.8190356129999996</v>
      </c>
      <c r="H199" s="3">
        <v>60.60297594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</row>
    <row r="200" spans="1:37">
      <c r="A200" t="s">
        <v>213</v>
      </c>
      <c r="B200" t="s">
        <v>189</v>
      </c>
      <c r="C200" s="3">
        <v>18.657950620000001</v>
      </c>
      <c r="D200" s="3">
        <v>23.57842149</v>
      </c>
      <c r="E200" s="3">
        <v>44.911552950000001</v>
      </c>
      <c r="F200" s="3">
        <v>53.224525389999997</v>
      </c>
      <c r="G200" s="3">
        <v>4.5391025010000003</v>
      </c>
      <c r="H200" s="3">
        <v>57.763627900000003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</row>
    <row r="201" spans="1:37">
      <c r="A201" t="s">
        <v>214</v>
      </c>
      <c r="B201" t="s">
        <v>189</v>
      </c>
      <c r="C201" s="3">
        <v>18.657950620000001</v>
      </c>
      <c r="D201" s="3">
        <v>23.57842149</v>
      </c>
      <c r="E201" s="3">
        <v>44.911552950000001</v>
      </c>
      <c r="F201" s="3">
        <v>53.224525389999997</v>
      </c>
      <c r="G201" s="3">
        <v>4.5391025010000003</v>
      </c>
      <c r="H201" s="3">
        <v>57.763627900000003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</row>
    <row r="202" spans="1:37">
      <c r="A202" t="s">
        <v>215</v>
      </c>
      <c r="B202" t="s">
        <v>189</v>
      </c>
      <c r="C202" s="3">
        <v>18.657950620000001</v>
      </c>
      <c r="D202" s="3">
        <v>23.57842149</v>
      </c>
      <c r="E202" s="3">
        <v>44.911552950000001</v>
      </c>
      <c r="F202" s="3">
        <v>53.224525389999997</v>
      </c>
      <c r="G202" s="3">
        <v>4.5391025010000003</v>
      </c>
      <c r="H202" s="3">
        <v>57.763627900000003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</row>
    <row r="203" spans="1:37">
      <c r="A203" t="s">
        <v>216</v>
      </c>
      <c r="B203" t="s">
        <v>189</v>
      </c>
      <c r="C203" s="3">
        <v>19.071595479999999</v>
      </c>
      <c r="D203" s="3">
        <v>22.4423928</v>
      </c>
      <c r="E203" s="3">
        <v>46.360915634999998</v>
      </c>
      <c r="F203" s="3">
        <v>55.349890994999996</v>
      </c>
      <c r="G203" s="3">
        <v>3.1361207269999998</v>
      </c>
      <c r="H203" s="3">
        <v>58.48601172</v>
      </c>
    </row>
    <row r="204" spans="1:37">
      <c r="A204" t="s">
        <v>217</v>
      </c>
      <c r="B204" t="s">
        <v>189</v>
      </c>
      <c r="C204" s="3">
        <v>19.071595479999999</v>
      </c>
      <c r="D204" s="3">
        <v>22.4423928</v>
      </c>
      <c r="E204" s="3">
        <v>46.360915634999998</v>
      </c>
      <c r="F204" s="3">
        <v>55.349890994999996</v>
      </c>
      <c r="G204" s="3">
        <v>3.1361207269999998</v>
      </c>
      <c r="H204" s="3">
        <v>58.48601172</v>
      </c>
    </row>
    <row r="205" spans="1:37">
      <c r="A205" t="s">
        <v>218</v>
      </c>
      <c r="B205" t="s">
        <v>189</v>
      </c>
      <c r="C205" s="3">
        <v>19.071595479999999</v>
      </c>
      <c r="D205" s="3">
        <v>22.4423928</v>
      </c>
      <c r="E205" s="3">
        <v>46.360915634999998</v>
      </c>
      <c r="F205" s="3">
        <v>55.349890994999996</v>
      </c>
      <c r="G205" s="3">
        <v>3.1361207269999998</v>
      </c>
      <c r="H205" s="3">
        <v>58.48601172</v>
      </c>
    </row>
    <row r="206" spans="1:37">
      <c r="A206" t="s">
        <v>219</v>
      </c>
      <c r="B206" t="s">
        <v>189</v>
      </c>
      <c r="C206" s="3">
        <v>18.7180122</v>
      </c>
      <c r="D206" s="3">
        <v>19.855056130000001</v>
      </c>
      <c r="E206" s="3">
        <v>50.639402199999999</v>
      </c>
      <c r="F206" s="3">
        <v>58.391148659999999</v>
      </c>
      <c r="G206" s="3">
        <v>3.0357830219999999</v>
      </c>
      <c r="H206" s="3">
        <v>61.426931680000003</v>
      </c>
    </row>
    <row r="207" spans="1:37">
      <c r="A207" t="s">
        <v>220</v>
      </c>
      <c r="B207" t="s">
        <v>189</v>
      </c>
      <c r="C207" s="3">
        <v>18.7180122</v>
      </c>
      <c r="D207" s="3">
        <v>19.855056130000001</v>
      </c>
      <c r="E207" s="3">
        <v>50.639402199999999</v>
      </c>
      <c r="F207" s="3">
        <v>58.391148659999999</v>
      </c>
      <c r="G207" s="3">
        <v>3.0357830219999999</v>
      </c>
      <c r="H207" s="3">
        <v>61.426931680000003</v>
      </c>
    </row>
    <row r="208" spans="1:37">
      <c r="A208" t="s">
        <v>221</v>
      </c>
      <c r="B208" t="s">
        <v>189</v>
      </c>
      <c r="C208" s="3">
        <v>18.7180122</v>
      </c>
      <c r="D208" s="3">
        <v>19.855056130000001</v>
      </c>
      <c r="E208" s="3">
        <v>50.639402199999999</v>
      </c>
      <c r="F208" s="3">
        <v>58.391148659999999</v>
      </c>
      <c r="G208" s="3">
        <v>3.0357830219999999</v>
      </c>
      <c r="H208" s="3">
        <v>61.426931680000003</v>
      </c>
    </row>
    <row r="209" spans="1:8">
      <c r="A209" t="s">
        <v>222</v>
      </c>
      <c r="B209" t="s">
        <v>189</v>
      </c>
      <c r="C209" s="3">
        <v>18.32295169</v>
      </c>
      <c r="D209" s="3">
        <v>25.902406370000001</v>
      </c>
      <c r="E209" s="3">
        <v>45.121040899999997</v>
      </c>
      <c r="F209" s="3">
        <v>52.145518639999999</v>
      </c>
      <c r="G209" s="3">
        <v>3.6291233059999999</v>
      </c>
      <c r="H209" s="3">
        <v>55.774641940000002</v>
      </c>
    </row>
    <row r="210" spans="1:8">
      <c r="A210" t="s">
        <v>223</v>
      </c>
      <c r="B210" t="s">
        <v>189</v>
      </c>
      <c r="C210" s="3">
        <v>18.32295169</v>
      </c>
      <c r="D210" s="3">
        <v>25.902406370000001</v>
      </c>
      <c r="E210" s="3">
        <v>45.121040899999997</v>
      </c>
      <c r="F210" s="3">
        <v>52.145518639999999</v>
      </c>
      <c r="G210" s="3">
        <v>3.6291233059999999</v>
      </c>
      <c r="H210" s="3">
        <v>55.774641940000002</v>
      </c>
    </row>
    <row r="211" spans="1:8">
      <c r="A211" t="s">
        <v>224</v>
      </c>
      <c r="B211" t="s">
        <v>189</v>
      </c>
      <c r="C211" s="3">
        <v>18.32295169</v>
      </c>
      <c r="D211" s="3">
        <v>25.902406370000001</v>
      </c>
      <c r="E211" s="3">
        <v>45.121040899999997</v>
      </c>
      <c r="F211" s="3">
        <v>52.145518639999999</v>
      </c>
      <c r="G211" s="3">
        <v>3.6291233059999999</v>
      </c>
      <c r="H211" s="3">
        <v>55.774641940000002</v>
      </c>
    </row>
    <row r="212" spans="1:8">
      <c r="A212" t="s">
        <v>225</v>
      </c>
      <c r="B212" t="s">
        <v>189</v>
      </c>
      <c r="C212" s="3">
        <v>18.730951040000001</v>
      </c>
      <c r="D212" s="3">
        <v>25.411148879999999</v>
      </c>
      <c r="E212" s="3">
        <v>44.593780989999999</v>
      </c>
      <c r="F212" s="3">
        <v>52.038599060000003</v>
      </c>
      <c r="G212" s="3">
        <v>3.8193010260000002</v>
      </c>
      <c r="H212" s="3">
        <v>55.85790008</v>
      </c>
    </row>
    <row r="213" spans="1:8">
      <c r="A213" t="s">
        <v>226</v>
      </c>
      <c r="B213" t="s">
        <v>189</v>
      </c>
      <c r="C213" s="3">
        <v>18.730951040000001</v>
      </c>
      <c r="D213" s="3">
        <v>25.411148879999999</v>
      </c>
      <c r="E213" s="3">
        <v>44.593780989999999</v>
      </c>
      <c r="F213" s="3">
        <v>52.038599060000003</v>
      </c>
      <c r="G213" s="3">
        <v>3.8193010260000002</v>
      </c>
      <c r="H213" s="3">
        <v>55.85790008</v>
      </c>
    </row>
    <row r="214" spans="1:8">
      <c r="A214" t="s">
        <v>227</v>
      </c>
      <c r="B214" t="s">
        <v>189</v>
      </c>
      <c r="C214" s="3">
        <v>18.730951040000001</v>
      </c>
      <c r="D214" s="3">
        <v>25.411148879999999</v>
      </c>
      <c r="E214" s="3">
        <v>44.593780989999999</v>
      </c>
      <c r="F214" s="3">
        <v>52.038599060000003</v>
      </c>
      <c r="G214" s="3">
        <v>3.8193010260000002</v>
      </c>
      <c r="H214" s="3">
        <v>55.85790008</v>
      </c>
    </row>
    <row r="215" spans="1:8">
      <c r="A215" t="s">
        <v>228</v>
      </c>
      <c r="B215" t="s">
        <v>189</v>
      </c>
      <c r="C215" s="3">
        <v>16.750594029999998</v>
      </c>
      <c r="D215" s="3">
        <v>23.763986719999998</v>
      </c>
      <c r="E215" s="3">
        <v>48.907555960000003</v>
      </c>
      <c r="F215" s="3">
        <v>56.262507659999997</v>
      </c>
      <c r="G215" s="3">
        <v>3.2229115899999998</v>
      </c>
      <c r="H215" s="3">
        <v>59.48541925</v>
      </c>
    </row>
    <row r="216" spans="1:8">
      <c r="A216" t="s">
        <v>229</v>
      </c>
      <c r="B216" t="s">
        <v>189</v>
      </c>
      <c r="C216" s="3">
        <v>16.750594029999998</v>
      </c>
      <c r="D216" s="3">
        <v>23.763986719999998</v>
      </c>
      <c r="E216" s="3">
        <v>48.907555960000003</v>
      </c>
      <c r="F216" s="3">
        <v>56.262507659999997</v>
      </c>
      <c r="G216" s="3">
        <v>3.2229115899999998</v>
      </c>
      <c r="H216" s="3">
        <v>59.48541925</v>
      </c>
    </row>
    <row r="217" spans="1:8">
      <c r="A217" t="s">
        <v>230</v>
      </c>
      <c r="B217" t="s">
        <v>189</v>
      </c>
      <c r="C217" s="3">
        <v>16.750594029999998</v>
      </c>
      <c r="D217" s="3">
        <v>23.763986719999998</v>
      </c>
      <c r="E217" s="3">
        <v>48.907555960000003</v>
      </c>
      <c r="F217" s="3">
        <v>56.262507659999997</v>
      </c>
      <c r="G217" s="3">
        <v>3.2229115899999998</v>
      </c>
      <c r="H217" s="3">
        <v>59.48541925</v>
      </c>
    </row>
    <row r="218" spans="1:8">
      <c r="A218" t="s">
        <v>231</v>
      </c>
      <c r="B218" t="s">
        <v>189</v>
      </c>
      <c r="C218" s="3">
        <v>17.932937859999999</v>
      </c>
      <c r="D218" s="3">
        <v>20.94764211</v>
      </c>
      <c r="E218" s="3">
        <v>51.007644939999999</v>
      </c>
      <c r="F218" s="3">
        <v>57.925784040000003</v>
      </c>
      <c r="G218" s="3">
        <v>3.1936359969999999</v>
      </c>
      <c r="H218" s="3">
        <v>61.119420030000001</v>
      </c>
    </row>
    <row r="219" spans="1:8">
      <c r="A219" t="s">
        <v>232</v>
      </c>
      <c r="B219" t="s">
        <v>189</v>
      </c>
      <c r="C219" s="3">
        <v>17.932937859999999</v>
      </c>
      <c r="D219" s="3">
        <v>20.94764211</v>
      </c>
      <c r="E219" s="3">
        <v>51.007644939999999</v>
      </c>
      <c r="F219" s="3">
        <v>57.925784040000003</v>
      </c>
      <c r="G219" s="3">
        <v>3.1936359969999999</v>
      </c>
      <c r="H219" s="3">
        <v>61.119420030000001</v>
      </c>
    </row>
    <row r="220" spans="1:8">
      <c r="A220" t="s">
        <v>233</v>
      </c>
      <c r="B220" t="s">
        <v>189</v>
      </c>
      <c r="C220" s="3">
        <v>17.932937859999999</v>
      </c>
      <c r="D220" s="3">
        <v>20.94764211</v>
      </c>
      <c r="E220" s="3">
        <v>51.007644939999999</v>
      </c>
      <c r="F220" s="3">
        <v>57.925784040000003</v>
      </c>
      <c r="G220" s="3">
        <v>3.1936359969999999</v>
      </c>
      <c r="H220" s="3">
        <v>61.119420030000001</v>
      </c>
    </row>
    <row r="221" spans="1:8">
      <c r="A221" t="s">
        <v>234</v>
      </c>
      <c r="B221" t="s">
        <v>189</v>
      </c>
      <c r="C221" s="3">
        <v>17.377709150000001</v>
      </c>
      <c r="D221" s="3">
        <v>26.58508531</v>
      </c>
      <c r="E221" s="3">
        <v>44.962736190000001</v>
      </c>
      <c r="F221" s="3">
        <v>52.289831650000004</v>
      </c>
      <c r="G221" s="3">
        <v>3.7473738870000002</v>
      </c>
      <c r="H221" s="3">
        <v>56.037205540000002</v>
      </c>
    </row>
    <row r="222" spans="1:8">
      <c r="A222" t="s">
        <v>235</v>
      </c>
      <c r="B222" t="s">
        <v>189</v>
      </c>
      <c r="C222" s="3">
        <v>17.377709150000001</v>
      </c>
      <c r="D222" s="3">
        <v>26.58508531</v>
      </c>
      <c r="E222" s="3">
        <v>44.962736190000001</v>
      </c>
      <c r="F222" s="3">
        <v>52.289831650000004</v>
      </c>
      <c r="G222" s="3">
        <v>3.7473738870000002</v>
      </c>
      <c r="H222" s="3">
        <v>56.037205540000002</v>
      </c>
    </row>
    <row r="223" spans="1:8">
      <c r="A223" t="s">
        <v>236</v>
      </c>
      <c r="B223" t="s">
        <v>189</v>
      </c>
      <c r="C223" s="3">
        <v>17.377709150000001</v>
      </c>
      <c r="D223" s="3">
        <v>26.58508531</v>
      </c>
      <c r="E223" s="3">
        <v>44.962736190000001</v>
      </c>
      <c r="F223" s="3">
        <v>52.289831650000004</v>
      </c>
      <c r="G223" s="3">
        <v>3.7473738870000002</v>
      </c>
      <c r="H223" s="3">
        <v>56.037205540000002</v>
      </c>
    </row>
    <row r="224" spans="1:8">
      <c r="A224" t="s">
        <v>237</v>
      </c>
      <c r="B224" t="s">
        <v>189</v>
      </c>
      <c r="C224" s="3">
        <v>18.078295839999999</v>
      </c>
      <c r="D224" s="3">
        <v>24.151859649999999</v>
      </c>
      <c r="E224" s="3">
        <v>45.724825920000001</v>
      </c>
      <c r="F224" s="3">
        <v>54.781173780000003</v>
      </c>
      <c r="G224" s="3">
        <v>2.9886707270000001</v>
      </c>
      <c r="H224" s="3">
        <v>57.769844509999999</v>
      </c>
    </row>
    <row r="225" spans="1:8">
      <c r="A225" t="s">
        <v>238</v>
      </c>
      <c r="B225" t="s">
        <v>189</v>
      </c>
      <c r="C225" s="3">
        <v>18.078295839999999</v>
      </c>
      <c r="D225" s="3">
        <v>24.151859649999999</v>
      </c>
      <c r="E225" s="3">
        <v>45.724825920000001</v>
      </c>
      <c r="F225" s="3">
        <v>54.781173780000003</v>
      </c>
      <c r="G225" s="3">
        <v>2.9886707270000001</v>
      </c>
      <c r="H225" s="3">
        <v>57.769844509999999</v>
      </c>
    </row>
    <row r="226" spans="1:8">
      <c r="A226" t="s">
        <v>239</v>
      </c>
      <c r="B226" t="s">
        <v>189</v>
      </c>
      <c r="C226" s="3">
        <v>18.078295839999999</v>
      </c>
      <c r="D226" s="3">
        <v>24.151859649999999</v>
      </c>
      <c r="E226" s="3">
        <v>45.724825920000001</v>
      </c>
      <c r="F226" s="3">
        <v>54.781173780000003</v>
      </c>
      <c r="G226" s="3">
        <v>2.9886707270000001</v>
      </c>
      <c r="H226" s="3">
        <v>57.769844509999999</v>
      </c>
    </row>
    <row r="227" spans="1:8">
      <c r="A227" t="s">
        <v>240</v>
      </c>
      <c r="B227" t="s">
        <v>189</v>
      </c>
      <c r="C227" s="3">
        <v>19.952206990000001</v>
      </c>
      <c r="D227" s="3">
        <v>23.13566565</v>
      </c>
      <c r="E227" s="3">
        <v>47.112278959999998</v>
      </c>
      <c r="F227" s="3">
        <v>54.14558787</v>
      </c>
      <c r="G227" s="3">
        <v>2.7665394889999999</v>
      </c>
      <c r="H227" s="3">
        <v>56.912127359999999</v>
      </c>
    </row>
    <row r="228" spans="1:8">
      <c r="A228" t="s">
        <v>241</v>
      </c>
      <c r="B228" t="s">
        <v>189</v>
      </c>
      <c r="C228" s="3">
        <v>19.952206990000001</v>
      </c>
      <c r="D228" s="3">
        <v>23.13566565</v>
      </c>
      <c r="E228" s="3">
        <v>47.112278959999998</v>
      </c>
      <c r="F228" s="3">
        <v>54.14558787</v>
      </c>
      <c r="G228" s="3">
        <v>2.7665394889999999</v>
      </c>
      <c r="H228" s="3">
        <v>56.912127359999999</v>
      </c>
    </row>
    <row r="229" spans="1:8">
      <c r="A229" t="s">
        <v>242</v>
      </c>
      <c r="B229" t="s">
        <v>189</v>
      </c>
      <c r="C229" s="3">
        <v>19.952206990000001</v>
      </c>
      <c r="D229" s="3">
        <v>23.13566565</v>
      </c>
      <c r="E229" s="3">
        <v>47.112278959999998</v>
      </c>
      <c r="F229" s="3">
        <v>54.14558787</v>
      </c>
      <c r="G229" s="3">
        <v>2.7665394889999999</v>
      </c>
      <c r="H229" s="3">
        <v>56.912127359999999</v>
      </c>
    </row>
    <row r="230" spans="1:8">
      <c r="A230" t="s">
        <v>243</v>
      </c>
      <c r="B230" t="s">
        <v>189</v>
      </c>
      <c r="C230" s="3">
        <v>19.097605890000001</v>
      </c>
      <c r="D230" s="3">
        <v>23.95687285</v>
      </c>
      <c r="E230" s="3">
        <v>47.861386799999998</v>
      </c>
      <c r="F230" s="3">
        <v>53.610957730000003</v>
      </c>
      <c r="G230" s="3">
        <v>3.3345635320000002</v>
      </c>
      <c r="H230" s="3">
        <v>56.94552126</v>
      </c>
    </row>
    <row r="231" spans="1:8">
      <c r="A231" t="s">
        <v>244</v>
      </c>
      <c r="B231" t="s">
        <v>189</v>
      </c>
      <c r="C231" s="3">
        <v>19.097605890000001</v>
      </c>
      <c r="D231" s="3">
        <v>23.95687285</v>
      </c>
      <c r="E231" s="3">
        <v>47.861386799999998</v>
      </c>
      <c r="F231" s="3">
        <v>53.610957730000003</v>
      </c>
      <c r="G231" s="3">
        <v>3.3345635320000002</v>
      </c>
      <c r="H231" s="3">
        <v>56.94552126</v>
      </c>
    </row>
    <row r="232" spans="1:8">
      <c r="A232" t="s">
        <v>245</v>
      </c>
      <c r="B232" t="s">
        <v>189</v>
      </c>
      <c r="C232" s="3">
        <v>19.097605890000001</v>
      </c>
      <c r="D232" s="3">
        <v>23.95687285</v>
      </c>
      <c r="E232" s="3">
        <v>47.861386799999998</v>
      </c>
      <c r="F232" s="3">
        <v>53.610957730000003</v>
      </c>
      <c r="G232" s="3">
        <v>3.3345635320000002</v>
      </c>
      <c r="H232" s="3">
        <v>56.94552126</v>
      </c>
    </row>
    <row r="233" spans="1:8">
      <c r="A233" t="s">
        <v>246</v>
      </c>
      <c r="B233" t="s">
        <v>189</v>
      </c>
      <c r="C233" s="3">
        <v>18.7972155</v>
      </c>
      <c r="D233" s="3">
        <v>24.770132239999999</v>
      </c>
      <c r="E233" s="3">
        <v>46.17704724</v>
      </c>
      <c r="F233" s="3">
        <v>52.539154430000004</v>
      </c>
      <c r="G233" s="3">
        <v>3.8934978249999999</v>
      </c>
      <c r="H233" s="3">
        <v>56.432652259999998</v>
      </c>
    </row>
    <row r="234" spans="1:8">
      <c r="A234" t="s">
        <v>247</v>
      </c>
      <c r="B234" t="s">
        <v>189</v>
      </c>
      <c r="C234" s="3">
        <v>18.7972155</v>
      </c>
      <c r="D234" s="3">
        <v>24.770132239999999</v>
      </c>
      <c r="E234" s="3">
        <v>46.17704724</v>
      </c>
      <c r="F234" s="3">
        <v>52.539154430000004</v>
      </c>
      <c r="G234" s="3">
        <v>3.8934978249999999</v>
      </c>
      <c r="H234" s="3">
        <v>56.432652259999998</v>
      </c>
    </row>
    <row r="235" spans="1:8">
      <c r="A235" t="s">
        <v>248</v>
      </c>
      <c r="B235" t="s">
        <v>189</v>
      </c>
      <c r="C235" s="3">
        <v>18.7972155</v>
      </c>
      <c r="D235" s="3">
        <v>24.770132239999999</v>
      </c>
      <c r="E235" s="3">
        <v>46.17704724</v>
      </c>
      <c r="F235" s="3">
        <v>52.539154430000004</v>
      </c>
      <c r="G235" s="3">
        <v>3.8934978249999999</v>
      </c>
      <c r="H235" s="3">
        <v>56.432652259999998</v>
      </c>
    </row>
    <row r="236" spans="1:8">
      <c r="A236" t="s">
        <v>249</v>
      </c>
      <c r="B236" t="s">
        <v>189</v>
      </c>
      <c r="C236" s="3">
        <v>18.531274369999998</v>
      </c>
      <c r="D236" s="3">
        <v>24.047614169999999</v>
      </c>
      <c r="E236" s="3">
        <v>46.154634649999998</v>
      </c>
      <c r="F236" s="3">
        <v>53.444818390000002</v>
      </c>
      <c r="G236" s="3">
        <v>3.9762930729999999</v>
      </c>
      <c r="H236" s="3">
        <v>57.421111459999999</v>
      </c>
    </row>
    <row r="237" spans="1:8">
      <c r="A237" t="s">
        <v>250</v>
      </c>
      <c r="B237" t="s">
        <v>189</v>
      </c>
      <c r="C237" s="3">
        <v>18.531274369999998</v>
      </c>
      <c r="D237" s="3">
        <v>24.047614169999999</v>
      </c>
      <c r="E237" s="3">
        <v>46.154634649999998</v>
      </c>
      <c r="F237" s="3">
        <v>53.444818390000002</v>
      </c>
      <c r="G237" s="3">
        <v>3.9762930729999999</v>
      </c>
      <c r="H237" s="3">
        <v>57.421111459999999</v>
      </c>
    </row>
    <row r="238" spans="1:8">
      <c r="A238" t="s">
        <v>251</v>
      </c>
      <c r="B238" t="s">
        <v>189</v>
      </c>
      <c r="C238" s="3">
        <v>18.531274369999998</v>
      </c>
      <c r="D238" s="3">
        <v>24.047614169999999</v>
      </c>
      <c r="E238" s="3">
        <v>46.154634649999998</v>
      </c>
      <c r="F238" s="3">
        <v>53.444818390000002</v>
      </c>
      <c r="G238" s="3">
        <v>3.9762930729999999</v>
      </c>
      <c r="H238" s="3">
        <v>57.421111459999999</v>
      </c>
    </row>
    <row r="239" spans="1:8">
      <c r="A239" t="s">
        <v>252</v>
      </c>
      <c r="B239" t="s">
        <v>253</v>
      </c>
      <c r="C239" s="3">
        <v>17.98483096</v>
      </c>
      <c r="D239" s="3">
        <v>24.458394070000001</v>
      </c>
      <c r="E239" s="3">
        <v>43.323122140000002</v>
      </c>
      <c r="F239" s="3">
        <v>54.705826340000002</v>
      </c>
      <c r="G239" s="3">
        <v>2.8509486380000002</v>
      </c>
      <c r="H239" s="3">
        <v>57.556774969999999</v>
      </c>
    </row>
    <row r="240" spans="1:8">
      <c r="A240" t="s">
        <v>254</v>
      </c>
      <c r="B240" t="s">
        <v>253</v>
      </c>
      <c r="C240" s="3">
        <v>17.98483096</v>
      </c>
      <c r="D240" s="3">
        <v>24.458394070000001</v>
      </c>
      <c r="E240" s="3">
        <v>43.323122140000002</v>
      </c>
      <c r="F240" s="3">
        <v>54.705826340000002</v>
      </c>
      <c r="G240" s="3">
        <v>2.8509486380000002</v>
      </c>
      <c r="H240" s="3">
        <v>57.556774969999999</v>
      </c>
    </row>
    <row r="241" spans="1:8">
      <c r="A241" t="s">
        <v>255</v>
      </c>
      <c r="B241" t="s">
        <v>253</v>
      </c>
      <c r="C241" s="3">
        <v>17.98483096</v>
      </c>
      <c r="D241" s="3">
        <v>24.458394070000001</v>
      </c>
      <c r="E241" s="3">
        <v>43.323122140000002</v>
      </c>
      <c r="F241" s="3">
        <v>54.705826340000002</v>
      </c>
      <c r="G241" s="3">
        <v>2.8509486380000002</v>
      </c>
      <c r="H241" s="3">
        <v>57.556774969999999</v>
      </c>
    </row>
    <row r="242" spans="1:8">
      <c r="A242" t="s">
        <v>256</v>
      </c>
      <c r="B242" t="s">
        <v>253</v>
      </c>
      <c r="C242" s="3">
        <v>17.92895601</v>
      </c>
      <c r="D242" s="3">
        <v>24.098545529999999</v>
      </c>
      <c r="E242" s="3">
        <v>43.59652208</v>
      </c>
      <c r="F242" s="3">
        <v>55.711999820000003</v>
      </c>
      <c r="G242" s="3">
        <v>2.260498643</v>
      </c>
      <c r="H242" s="3">
        <v>57.972498459999997</v>
      </c>
    </row>
    <row r="243" spans="1:8">
      <c r="A243" t="s">
        <v>257</v>
      </c>
      <c r="B243" t="s">
        <v>253</v>
      </c>
      <c r="C243" s="3">
        <v>17.92895601</v>
      </c>
      <c r="D243" s="3">
        <v>24.098545529999999</v>
      </c>
      <c r="E243" s="3">
        <v>43.59652208</v>
      </c>
      <c r="F243" s="3">
        <v>55.711999820000003</v>
      </c>
      <c r="G243" s="3">
        <v>2.260498643</v>
      </c>
      <c r="H243" s="3">
        <v>57.972498459999997</v>
      </c>
    </row>
    <row r="244" spans="1:8">
      <c r="A244" t="s">
        <v>258</v>
      </c>
      <c r="B244" t="s">
        <v>253</v>
      </c>
      <c r="C244" s="3">
        <v>17.92895601</v>
      </c>
      <c r="D244" s="3">
        <v>24.098545529999999</v>
      </c>
      <c r="E244" s="3">
        <v>43.59652208</v>
      </c>
      <c r="F244" s="3">
        <v>55.711999820000003</v>
      </c>
      <c r="G244" s="3">
        <v>2.260498643</v>
      </c>
      <c r="H244" s="3">
        <v>57.972498459999997</v>
      </c>
    </row>
    <row r="245" spans="1:8">
      <c r="A245" t="s">
        <v>259</v>
      </c>
      <c r="B245" t="s">
        <v>253</v>
      </c>
      <c r="C245" s="3">
        <v>17.90261448</v>
      </c>
      <c r="D245" s="3">
        <v>25.667954349999999</v>
      </c>
      <c r="E245" s="3">
        <v>45.039495119999998</v>
      </c>
      <c r="F245" s="3">
        <v>54.803545759999999</v>
      </c>
      <c r="G245" s="3">
        <v>1.625885399</v>
      </c>
      <c r="H245" s="3">
        <v>56.429431170000001</v>
      </c>
    </row>
    <row r="246" spans="1:8">
      <c r="A246" t="s">
        <v>260</v>
      </c>
      <c r="B246" t="s">
        <v>253</v>
      </c>
      <c r="C246" s="3">
        <v>17.90261448</v>
      </c>
      <c r="D246" s="3">
        <v>25.667954349999999</v>
      </c>
      <c r="E246" s="3">
        <v>45.039495119999998</v>
      </c>
      <c r="F246" s="3">
        <v>54.803545759999999</v>
      </c>
      <c r="G246" s="3">
        <v>1.625885399</v>
      </c>
      <c r="H246" s="3">
        <v>56.429431170000001</v>
      </c>
    </row>
    <row r="247" spans="1:8">
      <c r="A247" t="s">
        <v>261</v>
      </c>
      <c r="B247" t="s">
        <v>253</v>
      </c>
      <c r="C247" s="3">
        <v>17.90261448</v>
      </c>
      <c r="D247" s="3">
        <v>25.667954349999999</v>
      </c>
      <c r="E247" s="3">
        <v>45.039495119999998</v>
      </c>
      <c r="F247" s="3">
        <v>54.803545759999999</v>
      </c>
      <c r="G247" s="3">
        <v>1.625885399</v>
      </c>
      <c r="H247" s="3">
        <v>56.429431170000001</v>
      </c>
    </row>
    <row r="248" spans="1:8">
      <c r="A248" t="s">
        <v>262</v>
      </c>
      <c r="B248" t="s">
        <v>253</v>
      </c>
      <c r="C248" s="3">
        <v>18.058020290000002</v>
      </c>
      <c r="D248" s="3">
        <v>22.77912589</v>
      </c>
      <c r="E248" s="3">
        <v>48.632746189999999</v>
      </c>
      <c r="F248" s="3">
        <v>57.520251549999998</v>
      </c>
      <c r="G248" s="3">
        <v>1.6426022650000001</v>
      </c>
      <c r="H248" s="3">
        <v>59.162853810000001</v>
      </c>
    </row>
    <row r="249" spans="1:8">
      <c r="A249" t="s">
        <v>263</v>
      </c>
      <c r="B249" t="s">
        <v>253</v>
      </c>
      <c r="C249" s="3">
        <v>18.058020290000002</v>
      </c>
      <c r="D249" s="3">
        <v>22.77912589</v>
      </c>
      <c r="E249" s="3">
        <v>48.632746189999999</v>
      </c>
      <c r="F249" s="3">
        <v>57.520251549999998</v>
      </c>
      <c r="G249" s="3">
        <v>1.6426022650000001</v>
      </c>
      <c r="H249" s="3">
        <v>59.162853810000001</v>
      </c>
    </row>
    <row r="250" spans="1:8">
      <c r="A250" t="s">
        <v>264</v>
      </c>
      <c r="B250" t="s">
        <v>253</v>
      </c>
      <c r="C250" s="3">
        <v>18.058020290000002</v>
      </c>
      <c r="D250" s="3">
        <v>22.77912589</v>
      </c>
      <c r="E250" s="3">
        <v>48.632746189999999</v>
      </c>
      <c r="F250" s="3">
        <v>57.520251549999998</v>
      </c>
      <c r="G250" s="3">
        <v>1.6426022650000001</v>
      </c>
      <c r="H250" s="3">
        <v>59.162853810000001</v>
      </c>
    </row>
    <row r="251" spans="1:8">
      <c r="A251" t="s">
        <v>265</v>
      </c>
      <c r="B251" t="s">
        <v>253</v>
      </c>
      <c r="C251" s="3">
        <v>16.089531350000001</v>
      </c>
      <c r="D251" s="3">
        <v>18.54056718</v>
      </c>
      <c r="E251" s="3">
        <v>56.78243097</v>
      </c>
      <c r="F251" s="3">
        <v>63.995868010000002</v>
      </c>
      <c r="G251" s="3">
        <v>1.374033455</v>
      </c>
      <c r="H251" s="3">
        <v>65.369901470000002</v>
      </c>
    </row>
    <row r="252" spans="1:8">
      <c r="A252" t="s">
        <v>266</v>
      </c>
      <c r="B252" t="s">
        <v>253</v>
      </c>
      <c r="C252" s="3">
        <v>16.089531350000001</v>
      </c>
      <c r="D252" s="3">
        <v>18.54056718</v>
      </c>
      <c r="E252" s="3">
        <v>56.78243097</v>
      </c>
      <c r="F252" s="3">
        <v>63.995868010000002</v>
      </c>
      <c r="G252" s="3">
        <v>1.374033455</v>
      </c>
      <c r="H252" s="3">
        <v>65.369901470000002</v>
      </c>
    </row>
    <row r="253" spans="1:8">
      <c r="A253" t="s">
        <v>267</v>
      </c>
      <c r="B253" t="s">
        <v>253</v>
      </c>
      <c r="C253" s="3">
        <v>16.089531350000001</v>
      </c>
      <c r="D253" s="3">
        <v>18.54056718</v>
      </c>
      <c r="E253" s="3">
        <v>56.78243097</v>
      </c>
      <c r="F253" s="3">
        <v>63.995868010000002</v>
      </c>
      <c r="G253" s="3">
        <v>1.374033455</v>
      </c>
      <c r="H253" s="3">
        <v>65.369901470000002</v>
      </c>
    </row>
    <row r="254" spans="1:8">
      <c r="A254" t="s">
        <v>268</v>
      </c>
      <c r="B254" t="s">
        <v>253</v>
      </c>
      <c r="C254" s="3">
        <v>17.100259879999999</v>
      </c>
      <c r="D254" s="3">
        <v>16.609030879999999</v>
      </c>
      <c r="E254" s="3">
        <v>56.620993910000003</v>
      </c>
      <c r="F254" s="3">
        <v>64.707121509999993</v>
      </c>
      <c r="G254" s="3">
        <v>1.5835877270000001</v>
      </c>
      <c r="H254" s="3">
        <v>66.290709239999998</v>
      </c>
    </row>
    <row r="255" spans="1:8">
      <c r="A255" t="s">
        <v>269</v>
      </c>
      <c r="B255" t="s">
        <v>253</v>
      </c>
      <c r="C255" s="3">
        <v>17.100259879999999</v>
      </c>
      <c r="D255" s="3">
        <v>16.609030879999999</v>
      </c>
      <c r="E255" s="3">
        <v>56.620993910000003</v>
      </c>
      <c r="F255" s="3">
        <v>64.707121509999993</v>
      </c>
      <c r="G255" s="3">
        <v>1.5835877270000001</v>
      </c>
      <c r="H255" s="3">
        <v>66.290709239999998</v>
      </c>
    </row>
    <row r="256" spans="1:8">
      <c r="A256" t="s">
        <v>270</v>
      </c>
      <c r="B256" t="s">
        <v>253</v>
      </c>
      <c r="C256" s="3">
        <v>17.100259879999999</v>
      </c>
      <c r="D256" s="3">
        <v>16.609030879999999</v>
      </c>
      <c r="E256" s="3">
        <v>56.620993910000003</v>
      </c>
      <c r="F256" s="3">
        <v>64.707121509999993</v>
      </c>
      <c r="G256" s="3">
        <v>1.5835877270000001</v>
      </c>
      <c r="H256" s="3">
        <v>66.290709239999998</v>
      </c>
    </row>
    <row r="257" spans="1:37">
      <c r="A257" t="s">
        <v>271</v>
      </c>
      <c r="B257" t="s">
        <v>253</v>
      </c>
      <c r="C257" s="3">
        <v>16.336343599999999</v>
      </c>
      <c r="D257" s="3">
        <v>19.51308345</v>
      </c>
      <c r="E257" s="3">
        <v>54.781359590000001</v>
      </c>
      <c r="F257" s="3">
        <v>62.867215799999997</v>
      </c>
      <c r="G257" s="3">
        <v>1.2833571399999999</v>
      </c>
      <c r="H257" s="3">
        <v>64.150572940000004</v>
      </c>
    </row>
    <row r="258" spans="1:37">
      <c r="A258" t="s">
        <v>272</v>
      </c>
      <c r="B258" t="s">
        <v>253</v>
      </c>
      <c r="C258" s="3">
        <v>16.336343599999999</v>
      </c>
      <c r="D258" s="3">
        <v>19.51308345</v>
      </c>
      <c r="E258" s="3">
        <v>54.781359590000001</v>
      </c>
      <c r="F258" s="3">
        <v>62.867215799999997</v>
      </c>
      <c r="G258" s="3">
        <v>1.2833571399999999</v>
      </c>
      <c r="H258" s="3">
        <v>64.150572940000004</v>
      </c>
    </row>
    <row r="259" spans="1:37">
      <c r="A259" t="s">
        <v>273</v>
      </c>
      <c r="B259" t="s">
        <v>253</v>
      </c>
      <c r="C259" s="3">
        <v>16.336343599999999</v>
      </c>
      <c r="D259" s="3">
        <v>19.51308345</v>
      </c>
      <c r="E259" s="3">
        <v>54.781359590000001</v>
      </c>
      <c r="F259" s="3">
        <v>62.867215799999997</v>
      </c>
      <c r="G259" s="3">
        <v>1.2833571399999999</v>
      </c>
      <c r="H259" s="3">
        <v>64.150572940000004</v>
      </c>
    </row>
    <row r="260" spans="1:37">
      <c r="A260" t="s">
        <v>274</v>
      </c>
      <c r="B260" t="s">
        <v>253</v>
      </c>
      <c r="C260" s="3">
        <v>18.771998740000001</v>
      </c>
      <c r="D260" s="3">
        <v>18.499760500000001</v>
      </c>
      <c r="E260" s="3">
        <v>52.422661069999997</v>
      </c>
      <c r="F260" s="3">
        <v>61.655900899999999</v>
      </c>
      <c r="G260" s="3">
        <v>1.0723398740000001</v>
      </c>
      <c r="H260" s="3">
        <v>62.728240769999999</v>
      </c>
    </row>
    <row r="261" spans="1:37">
      <c r="A261" t="s">
        <v>275</v>
      </c>
      <c r="B261" t="s">
        <v>253</v>
      </c>
      <c r="C261" s="3">
        <v>18.771998740000001</v>
      </c>
      <c r="D261" s="3">
        <v>18.499760500000001</v>
      </c>
      <c r="E261" s="3">
        <v>52.422661069999997</v>
      </c>
      <c r="F261" s="3">
        <v>61.655900899999999</v>
      </c>
      <c r="G261" s="3">
        <v>1.0723398740000001</v>
      </c>
      <c r="H261" s="3">
        <v>62.728240769999999</v>
      </c>
    </row>
    <row r="262" spans="1:37">
      <c r="A262" t="s">
        <v>276</v>
      </c>
      <c r="B262" t="s">
        <v>253</v>
      </c>
      <c r="C262" s="3">
        <v>18.771998740000001</v>
      </c>
      <c r="D262" s="3">
        <v>18.499760500000001</v>
      </c>
      <c r="E262" s="3">
        <v>52.422661069999997</v>
      </c>
      <c r="F262" s="3">
        <v>61.655900899999999</v>
      </c>
      <c r="G262" s="3">
        <v>1.0723398740000001</v>
      </c>
      <c r="H262" s="3">
        <v>62.728240769999999</v>
      </c>
    </row>
    <row r="263" spans="1:37">
      <c r="A263" t="s">
        <v>277</v>
      </c>
      <c r="B263" t="s">
        <v>253</v>
      </c>
      <c r="C263" s="3">
        <v>18.501475335000002</v>
      </c>
      <c r="D263" s="3">
        <v>13.415577039999999</v>
      </c>
      <c r="E263" s="3">
        <v>52.530911119999999</v>
      </c>
      <c r="F263" s="3">
        <v>64.462921370000004</v>
      </c>
      <c r="G263" s="3">
        <v>3.6200262555</v>
      </c>
      <c r="H263" s="3">
        <v>68.082947625000003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</row>
    <row r="264" spans="1:37">
      <c r="A264" t="s">
        <v>278</v>
      </c>
      <c r="B264" t="s">
        <v>253</v>
      </c>
      <c r="C264">
        <v>18.501475335000002</v>
      </c>
      <c r="D264">
        <v>13.415577039999999</v>
      </c>
      <c r="E264">
        <v>52.530911119999999</v>
      </c>
      <c r="F264">
        <v>64.462921370000004</v>
      </c>
      <c r="G264">
        <v>3.6200262555</v>
      </c>
      <c r="H264">
        <v>68.082947625000003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</row>
    <row r="265" spans="1:37">
      <c r="A265" t="s">
        <v>279</v>
      </c>
      <c r="B265" t="s">
        <v>253</v>
      </c>
      <c r="C265">
        <v>18.501475335000002</v>
      </c>
      <c r="D265">
        <v>13.415577039999999</v>
      </c>
      <c r="E265">
        <v>52.530911119999999</v>
      </c>
      <c r="F265">
        <v>64.462921370000004</v>
      </c>
      <c r="G265">
        <v>3.6200262555</v>
      </c>
      <c r="H265">
        <v>68.082947625000003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</row>
    <row r="266" spans="1:37">
      <c r="A266" t="s">
        <v>280</v>
      </c>
      <c r="B266" t="s">
        <v>253</v>
      </c>
      <c r="C266" s="3">
        <v>19.965772340000001</v>
      </c>
      <c r="D266" s="3">
        <v>12.55339217</v>
      </c>
      <c r="E266" s="3">
        <v>52.153372470000001</v>
      </c>
      <c r="F266" s="3">
        <v>64.557687900000005</v>
      </c>
      <c r="G266" s="3">
        <v>2.9231475919999999</v>
      </c>
      <c r="H266" s="3">
        <v>67.480835490000004</v>
      </c>
    </row>
    <row r="267" spans="1:37">
      <c r="A267" t="s">
        <v>281</v>
      </c>
      <c r="B267" t="s">
        <v>253</v>
      </c>
      <c r="C267" s="3">
        <v>19.965772340000001</v>
      </c>
      <c r="D267" s="3">
        <v>12.55339217</v>
      </c>
      <c r="E267" s="3">
        <v>52.153372470000001</v>
      </c>
      <c r="F267" s="3">
        <v>64.557687900000005</v>
      </c>
      <c r="G267" s="3">
        <v>2.9231475919999999</v>
      </c>
      <c r="H267" s="3">
        <v>67.480835490000004</v>
      </c>
    </row>
    <row r="268" spans="1:37">
      <c r="A268" t="s">
        <v>282</v>
      </c>
      <c r="B268" t="s">
        <v>253</v>
      </c>
      <c r="C268" s="3">
        <v>19.965772340000001</v>
      </c>
      <c r="D268" s="3">
        <v>12.55339217</v>
      </c>
      <c r="E268" s="3">
        <v>52.153372470000001</v>
      </c>
      <c r="F268" s="3">
        <v>64.557687900000005</v>
      </c>
      <c r="G268" s="3">
        <v>2.9231475919999999</v>
      </c>
      <c r="H268" s="3">
        <v>67.480835490000004</v>
      </c>
    </row>
    <row r="269" spans="1:37">
      <c r="A269" t="s">
        <v>283</v>
      </c>
      <c r="B269" t="s">
        <v>253</v>
      </c>
      <c r="C269" s="3">
        <v>23.21188532</v>
      </c>
      <c r="D269" s="3">
        <v>13.10117947</v>
      </c>
      <c r="E269" s="3">
        <v>49.297034940000003</v>
      </c>
      <c r="F269" s="3">
        <v>60.383307129999999</v>
      </c>
      <c r="G269" s="3">
        <v>3.3036280809999998</v>
      </c>
      <c r="H269" s="3">
        <v>63.686935210000001</v>
      </c>
    </row>
    <row r="270" spans="1:37">
      <c r="A270" t="s">
        <v>284</v>
      </c>
      <c r="B270" t="s">
        <v>253</v>
      </c>
      <c r="C270" s="3">
        <v>23.21188532</v>
      </c>
      <c r="D270" s="3">
        <v>13.10117947</v>
      </c>
      <c r="E270" s="3">
        <v>49.297034940000003</v>
      </c>
      <c r="F270" s="3">
        <v>60.383307129999999</v>
      </c>
      <c r="G270" s="3">
        <v>3.3036280809999998</v>
      </c>
      <c r="H270" s="3">
        <v>63.686935210000001</v>
      </c>
    </row>
    <row r="271" spans="1:37">
      <c r="A271" t="s">
        <v>285</v>
      </c>
      <c r="B271" t="s">
        <v>253</v>
      </c>
      <c r="C271" s="3">
        <v>23.21188532</v>
      </c>
      <c r="D271" s="3">
        <v>13.10117947</v>
      </c>
      <c r="E271" s="3">
        <v>49.297034940000003</v>
      </c>
      <c r="F271" s="3">
        <v>60.383307129999999</v>
      </c>
      <c r="G271" s="3">
        <v>3.3036280809999998</v>
      </c>
      <c r="H271" s="3">
        <v>63.686935210000001</v>
      </c>
    </row>
    <row r="272" spans="1:37">
      <c r="A272" t="s">
        <v>286</v>
      </c>
      <c r="B272" t="s">
        <v>253</v>
      </c>
      <c r="C272" s="3">
        <v>18.418952390000001</v>
      </c>
      <c r="D272" s="3">
        <v>13.2396952</v>
      </c>
      <c r="E272" s="3">
        <v>52.672176999999998</v>
      </c>
      <c r="F272" s="3">
        <v>64.986399809999995</v>
      </c>
      <c r="G272" s="3">
        <v>3.354952597</v>
      </c>
      <c r="H272" s="3">
        <v>68.341352409999999</v>
      </c>
    </row>
    <row r="273" spans="1:8">
      <c r="A273" t="s">
        <v>287</v>
      </c>
      <c r="B273" t="s">
        <v>253</v>
      </c>
      <c r="C273" s="3">
        <v>18.418952390000001</v>
      </c>
      <c r="D273" s="3">
        <v>13.2396952</v>
      </c>
      <c r="E273" s="3">
        <v>52.672176999999998</v>
      </c>
      <c r="F273" s="3">
        <v>64.986399809999995</v>
      </c>
      <c r="G273" s="3">
        <v>3.354952597</v>
      </c>
      <c r="H273" s="3">
        <v>68.341352409999999</v>
      </c>
    </row>
    <row r="274" spans="1:8">
      <c r="A274" t="s">
        <v>288</v>
      </c>
      <c r="B274" t="s">
        <v>253</v>
      </c>
      <c r="C274" s="3">
        <v>18.418952390000001</v>
      </c>
      <c r="D274" s="3">
        <v>13.2396952</v>
      </c>
      <c r="E274" s="3">
        <v>52.672176999999998</v>
      </c>
      <c r="F274" s="3">
        <v>64.986399809999995</v>
      </c>
      <c r="G274" s="3">
        <v>3.354952597</v>
      </c>
      <c r="H274" s="3">
        <v>68.341352409999999</v>
      </c>
    </row>
    <row r="275" spans="1:8">
      <c r="A275" t="s">
        <v>289</v>
      </c>
      <c r="B275" t="s">
        <v>253</v>
      </c>
      <c r="C275" s="3">
        <v>18.240616429999999</v>
      </c>
      <c r="D275" s="3">
        <v>13.69884077</v>
      </c>
      <c r="E275" s="3">
        <v>53.219051710000002</v>
      </c>
      <c r="F275" s="3">
        <v>65.102565380000001</v>
      </c>
      <c r="G275" s="3">
        <v>2.9579774219999999</v>
      </c>
      <c r="H275" s="3">
        <v>68.060542799999993</v>
      </c>
    </row>
    <row r="276" spans="1:8">
      <c r="A276" t="s">
        <v>290</v>
      </c>
      <c r="B276" t="s">
        <v>253</v>
      </c>
      <c r="C276" s="3">
        <v>18.240616429999999</v>
      </c>
      <c r="D276" s="3">
        <v>13.69884077</v>
      </c>
      <c r="E276" s="3">
        <v>53.219051710000002</v>
      </c>
      <c r="F276" s="3">
        <v>65.102565380000001</v>
      </c>
      <c r="G276" s="3">
        <v>2.9579774219999999</v>
      </c>
      <c r="H276" s="3">
        <v>68.060542799999993</v>
      </c>
    </row>
    <row r="277" spans="1:8">
      <c r="A277" t="s">
        <v>291</v>
      </c>
      <c r="B277" t="s">
        <v>253</v>
      </c>
      <c r="C277" s="3">
        <v>18.240616429999999</v>
      </c>
      <c r="D277" s="3">
        <v>13.69884077</v>
      </c>
      <c r="E277" s="3">
        <v>53.219051710000002</v>
      </c>
      <c r="F277" s="3">
        <v>65.102565380000001</v>
      </c>
      <c r="G277" s="3">
        <v>2.9579774219999999</v>
      </c>
      <c r="H277" s="3">
        <v>68.060542799999993</v>
      </c>
    </row>
    <row r="278" spans="1:8">
      <c r="A278" t="s">
        <v>292</v>
      </c>
      <c r="B278" t="s">
        <v>253</v>
      </c>
      <c r="C278" s="3">
        <v>21.617609000000002</v>
      </c>
      <c r="D278" s="3">
        <v>14.90063799</v>
      </c>
      <c r="E278" s="3">
        <v>48.978578429999999</v>
      </c>
      <c r="F278" s="3">
        <v>61.240435069999997</v>
      </c>
      <c r="G278" s="3">
        <v>2.241317945</v>
      </c>
      <c r="H278" s="3">
        <v>63.481753019999999</v>
      </c>
    </row>
    <row r="279" spans="1:8">
      <c r="A279" t="s">
        <v>293</v>
      </c>
      <c r="B279" t="s">
        <v>253</v>
      </c>
      <c r="C279" s="3">
        <v>21.617609000000002</v>
      </c>
      <c r="D279" s="3">
        <v>14.90063799</v>
      </c>
      <c r="E279" s="3">
        <v>48.978578429999999</v>
      </c>
      <c r="F279" s="3">
        <v>61.240435069999997</v>
      </c>
      <c r="G279" s="3">
        <v>2.241317945</v>
      </c>
      <c r="H279" s="3">
        <v>63.481753019999999</v>
      </c>
    </row>
    <row r="280" spans="1:8">
      <c r="A280" t="s">
        <v>294</v>
      </c>
      <c r="B280" t="s">
        <v>253</v>
      </c>
      <c r="C280" s="3">
        <v>21.617609000000002</v>
      </c>
      <c r="D280" s="3">
        <v>14.90063799</v>
      </c>
      <c r="E280" s="3">
        <v>48.978578429999999</v>
      </c>
      <c r="F280" s="3">
        <v>61.240435069999997</v>
      </c>
      <c r="G280" s="3">
        <v>2.241317945</v>
      </c>
      <c r="H280" s="3">
        <v>63.481753019999999</v>
      </c>
    </row>
    <row r="281" spans="1:8">
      <c r="A281" t="s">
        <v>295</v>
      </c>
      <c r="B281" t="s">
        <v>253</v>
      </c>
      <c r="C281" s="3">
        <v>24.132127709999999</v>
      </c>
      <c r="D281" s="3">
        <v>14.16578574</v>
      </c>
      <c r="E281" s="3">
        <v>46.339237150000002</v>
      </c>
      <c r="F281" s="3">
        <v>59.92355079</v>
      </c>
      <c r="G281" s="3">
        <v>1.778535765</v>
      </c>
      <c r="H281" s="3">
        <v>61.702086559999998</v>
      </c>
    </row>
    <row r="282" spans="1:8">
      <c r="A282" t="s">
        <v>296</v>
      </c>
      <c r="B282" t="s">
        <v>253</v>
      </c>
      <c r="C282" s="3">
        <v>24.132127709999999</v>
      </c>
      <c r="D282" s="3">
        <v>14.16578574</v>
      </c>
      <c r="E282" s="3">
        <v>46.339237150000002</v>
      </c>
      <c r="F282" s="3">
        <v>59.92355079</v>
      </c>
      <c r="G282" s="3">
        <v>1.778535765</v>
      </c>
      <c r="H282" s="3">
        <v>61.702086559999998</v>
      </c>
    </row>
    <row r="283" spans="1:8">
      <c r="A283" t="s">
        <v>297</v>
      </c>
      <c r="B283" t="s">
        <v>253</v>
      </c>
      <c r="C283" s="3">
        <v>24.132127709999999</v>
      </c>
      <c r="D283" s="3">
        <v>14.16578574</v>
      </c>
      <c r="E283" s="3">
        <v>46.339237150000002</v>
      </c>
      <c r="F283" s="3">
        <v>59.92355079</v>
      </c>
      <c r="G283" s="3">
        <v>1.778535765</v>
      </c>
      <c r="H283" s="3">
        <v>61.702086559999998</v>
      </c>
    </row>
    <row r="284" spans="1:8">
      <c r="A284" t="s">
        <v>298</v>
      </c>
      <c r="B284" t="s">
        <v>253</v>
      </c>
      <c r="C284" s="3">
        <v>16.828784559999999</v>
      </c>
      <c r="D284" s="3">
        <v>12.578081210000001</v>
      </c>
      <c r="E284" s="3">
        <v>54.59957026</v>
      </c>
      <c r="F284" s="3">
        <v>68.070045960000002</v>
      </c>
      <c r="G284" s="3">
        <v>2.523088268</v>
      </c>
      <c r="H284" s="3">
        <v>70.593134230000004</v>
      </c>
    </row>
    <row r="285" spans="1:8">
      <c r="A285" t="s">
        <v>299</v>
      </c>
      <c r="B285" t="s">
        <v>253</v>
      </c>
      <c r="C285" s="3">
        <v>16.828784559999999</v>
      </c>
      <c r="D285" s="3">
        <v>12.578081210000001</v>
      </c>
      <c r="E285" s="3">
        <v>54.59957026</v>
      </c>
      <c r="F285" s="3">
        <v>68.070045960000002</v>
      </c>
      <c r="G285" s="3">
        <v>2.523088268</v>
      </c>
      <c r="H285" s="3">
        <v>70.593134230000004</v>
      </c>
    </row>
    <row r="286" spans="1:8">
      <c r="A286" t="s">
        <v>300</v>
      </c>
      <c r="B286" t="s">
        <v>253</v>
      </c>
      <c r="C286" s="3">
        <v>16.828784559999999</v>
      </c>
      <c r="D286" s="3">
        <v>12.578081210000001</v>
      </c>
      <c r="E286" s="3">
        <v>54.59957026</v>
      </c>
      <c r="F286" s="3">
        <v>68.070045960000002</v>
      </c>
      <c r="G286" s="3">
        <v>2.523088268</v>
      </c>
      <c r="H286" s="3">
        <v>70.593134230000004</v>
      </c>
    </row>
    <row r="287" spans="1:8">
      <c r="A287" t="s">
        <v>301</v>
      </c>
      <c r="B287" t="s">
        <v>253</v>
      </c>
      <c r="C287" s="3">
        <v>21.03126966</v>
      </c>
      <c r="D287" s="3">
        <v>16.894585679999999</v>
      </c>
      <c r="E287" s="3">
        <v>49.902158620000002</v>
      </c>
      <c r="F287" s="3">
        <v>60.961782820000003</v>
      </c>
      <c r="G287" s="3">
        <v>1.1123618340000001</v>
      </c>
      <c r="H287" s="3">
        <v>62.074144650000001</v>
      </c>
    </row>
    <row r="288" spans="1:8">
      <c r="A288" t="s">
        <v>302</v>
      </c>
      <c r="B288" t="s">
        <v>253</v>
      </c>
      <c r="C288" s="3">
        <v>21.03126966</v>
      </c>
      <c r="D288" s="3">
        <v>16.894585679999999</v>
      </c>
      <c r="E288" s="3">
        <v>49.902158620000002</v>
      </c>
      <c r="F288" s="3">
        <v>60.961782820000003</v>
      </c>
      <c r="G288" s="3">
        <v>1.1123618340000001</v>
      </c>
      <c r="H288" s="3">
        <v>62.074144650000001</v>
      </c>
    </row>
    <row r="289" spans="1:8">
      <c r="A289" t="s">
        <v>303</v>
      </c>
      <c r="B289" t="s">
        <v>253</v>
      </c>
      <c r="C289" s="3">
        <v>21.03126966</v>
      </c>
      <c r="D289" s="3">
        <v>16.894585679999999</v>
      </c>
      <c r="E289" s="3">
        <v>49.902158620000002</v>
      </c>
      <c r="F289" s="3">
        <v>60.961782820000003</v>
      </c>
      <c r="G289" s="3">
        <v>1.1123618340000001</v>
      </c>
      <c r="H289" s="3">
        <v>62.074144650000001</v>
      </c>
    </row>
    <row r="290" spans="1:8">
      <c r="A290" s="2"/>
    </row>
    <row r="291" spans="1:8">
      <c r="A291" s="1"/>
    </row>
    <row r="292" spans="1:8">
      <c r="A292" s="1"/>
    </row>
    <row r="293" spans="1:8">
      <c r="A293" s="1"/>
    </row>
    <row r="294" spans="1:8">
      <c r="A294" s="1"/>
    </row>
    <row r="295" spans="1:8">
      <c r="A295" s="1"/>
    </row>
    <row r="296" spans="1:8">
      <c r="A296" s="1"/>
    </row>
    <row r="297" spans="1:8">
      <c r="A297" s="1"/>
    </row>
    <row r="298" spans="1:8">
      <c r="A298" s="1"/>
    </row>
    <row r="299" spans="1:8">
      <c r="A299" s="1"/>
    </row>
    <row r="300" spans="1:8">
      <c r="A300" s="1"/>
    </row>
    <row r="301" spans="1:8">
      <c r="A301" s="1"/>
    </row>
    <row r="302" spans="1:8">
      <c r="A302" s="1"/>
    </row>
    <row r="303" spans="1:8">
      <c r="A303" s="1"/>
    </row>
    <row r="304" spans="1:8">
      <c r="A30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FE9B-BEEC-1748-B41E-F35D2DEDB729}">
  <dimension ref="A1:BB359"/>
  <sheetViews>
    <sheetView zoomScaleNormal="100" workbookViewId="0">
      <pane ySplit="1" topLeftCell="L2" activePane="bottomLeft" state="frozen"/>
      <selection pane="bottomLeft" activeCell="T1" sqref="T1:U1048576"/>
    </sheetView>
  </sheetViews>
  <sheetFormatPr defaultColWidth="11" defaultRowHeight="15.75" customHeight="1"/>
  <cols>
    <col min="1" max="1" width="11" style="1"/>
  </cols>
  <sheetData>
    <row r="1" spans="1:25">
      <c r="A1" s="1" t="s">
        <v>0</v>
      </c>
      <c r="B1" t="s">
        <v>1</v>
      </c>
      <c r="C1" s="3" t="s">
        <v>304</v>
      </c>
      <c r="D1" s="3" t="s">
        <v>305</v>
      </c>
      <c r="E1" s="3" t="s">
        <v>306</v>
      </c>
      <c r="F1" s="3" t="s">
        <v>307</v>
      </c>
      <c r="G1" s="3" t="s">
        <v>308</v>
      </c>
      <c r="H1" s="3" t="s">
        <v>309</v>
      </c>
      <c r="I1" s="3" t="s">
        <v>310</v>
      </c>
      <c r="J1" s="3" t="s">
        <v>311</v>
      </c>
      <c r="K1" s="3" t="s">
        <v>312</v>
      </c>
      <c r="L1" s="3" t="s">
        <v>313</v>
      </c>
      <c r="M1" s="3" t="s">
        <v>314</v>
      </c>
      <c r="N1" s="3" t="s">
        <v>315</v>
      </c>
      <c r="O1" s="3" t="s">
        <v>316</v>
      </c>
      <c r="P1" s="3" t="s">
        <v>317</v>
      </c>
      <c r="Q1" s="3" t="s">
        <v>318</v>
      </c>
      <c r="R1" s="3" t="s">
        <v>319</v>
      </c>
      <c r="S1" s="3" t="s">
        <v>320</v>
      </c>
      <c r="T1" s="3" t="s">
        <v>2</v>
      </c>
      <c r="U1" s="3" t="s">
        <v>3</v>
      </c>
      <c r="V1" s="3" t="s">
        <v>7</v>
      </c>
      <c r="W1" s="3" t="s">
        <v>5</v>
      </c>
      <c r="X1" s="3" t="s">
        <v>6</v>
      </c>
      <c r="Y1" t="s">
        <v>5</v>
      </c>
    </row>
    <row r="2" spans="1:25">
      <c r="A2" t="s">
        <v>8</v>
      </c>
      <c r="B2" t="s">
        <v>9</v>
      </c>
      <c r="C2" s="3">
        <v>1.7973911440000001</v>
      </c>
      <c r="D2" s="3">
        <v>2.5349109689999998</v>
      </c>
      <c r="E2" s="3">
        <v>3.107612788</v>
      </c>
      <c r="F2" s="3">
        <v>17.449122800000001</v>
      </c>
      <c r="G2" s="3">
        <v>8.3806305299999995</v>
      </c>
      <c r="H2" s="3">
        <v>0.16814493</v>
      </c>
      <c r="I2" s="3">
        <v>1.2031454690000001</v>
      </c>
      <c r="J2" s="3">
        <v>2.1784957770000002</v>
      </c>
      <c r="K2" s="3">
        <v>14.513286069999999</v>
      </c>
      <c r="L2" s="3">
        <v>1.092563529</v>
      </c>
      <c r="M2" s="3">
        <v>1.0840401850000001</v>
      </c>
      <c r="N2" s="3" t="s">
        <v>321</v>
      </c>
      <c r="O2" s="3">
        <v>1.231443083</v>
      </c>
      <c r="P2" s="3">
        <v>11.558777389999999</v>
      </c>
      <c r="Q2" s="3">
        <v>0.676265271</v>
      </c>
      <c r="R2" s="3">
        <v>0.58169638400000001</v>
      </c>
      <c r="S2" s="3">
        <v>33.25466393</v>
      </c>
      <c r="T2" s="3">
        <v>27.235678409999998</v>
      </c>
      <c r="U2" s="3">
        <v>24.678758460000001</v>
      </c>
      <c r="V2" s="3">
        <v>48.085563139999998</v>
      </c>
      <c r="W2" s="3">
        <v>45.536134769999997</v>
      </c>
      <c r="X2" s="3">
        <v>2.5494283690000001</v>
      </c>
      <c r="Y2">
        <v>45.536134773333337</v>
      </c>
    </row>
    <row r="3" spans="1:25">
      <c r="A3" t="s">
        <v>10</v>
      </c>
      <c r="B3" t="s">
        <v>9</v>
      </c>
      <c r="C3" s="3">
        <v>1.7973911440000001</v>
      </c>
      <c r="D3" s="3">
        <v>2.5349109689999998</v>
      </c>
      <c r="E3" s="3">
        <v>3.107612788</v>
      </c>
      <c r="F3" s="3">
        <v>17.449122800000001</v>
      </c>
      <c r="G3" s="3">
        <v>8.3806305299999995</v>
      </c>
      <c r="H3" s="3">
        <v>0.16814493</v>
      </c>
      <c r="I3" s="3">
        <v>1.2031454690000001</v>
      </c>
      <c r="J3" s="3">
        <v>2.1784957770000002</v>
      </c>
      <c r="K3" s="3">
        <v>14.513286069999999</v>
      </c>
      <c r="L3" s="3">
        <v>1.092563529</v>
      </c>
      <c r="M3" s="3">
        <v>1.0840401850000001</v>
      </c>
      <c r="N3" s="3" t="s">
        <v>321</v>
      </c>
      <c r="O3" s="3">
        <v>1.231443083</v>
      </c>
      <c r="P3" s="3">
        <v>11.558777389999999</v>
      </c>
      <c r="Q3" s="3">
        <v>0.676265271</v>
      </c>
      <c r="R3" s="3">
        <v>0.58169638400000001</v>
      </c>
      <c r="S3" s="3">
        <v>33.25466393</v>
      </c>
      <c r="T3" s="3">
        <v>27.235678409999998</v>
      </c>
      <c r="U3" s="3">
        <v>24.678758460000001</v>
      </c>
      <c r="V3" s="3">
        <v>48.085563139999998</v>
      </c>
      <c r="W3" s="3">
        <v>45.536134769999997</v>
      </c>
      <c r="X3" s="3">
        <v>2.5494283690000001</v>
      </c>
      <c r="Y3">
        <v>45.536134773333337</v>
      </c>
    </row>
    <row r="4" spans="1:25">
      <c r="A4" t="s">
        <v>11</v>
      </c>
      <c r="B4" t="s">
        <v>9</v>
      </c>
      <c r="C4" s="3">
        <v>1.7973911440000001</v>
      </c>
      <c r="D4" s="3">
        <v>2.5349109689999998</v>
      </c>
      <c r="E4" s="3">
        <v>3.107612788</v>
      </c>
      <c r="F4" s="3">
        <v>17.449122800000001</v>
      </c>
      <c r="G4" s="3">
        <v>8.3806305299999995</v>
      </c>
      <c r="H4" s="3">
        <v>0.16814493</v>
      </c>
      <c r="I4" s="3">
        <v>1.2031454690000001</v>
      </c>
      <c r="J4" s="3">
        <v>2.1784957770000002</v>
      </c>
      <c r="K4" s="3">
        <v>14.513286069999999</v>
      </c>
      <c r="L4" s="3">
        <v>1.092563529</v>
      </c>
      <c r="M4" s="3">
        <v>1.0840401850000001</v>
      </c>
      <c r="N4" s="3" t="s">
        <v>321</v>
      </c>
      <c r="O4" s="3">
        <v>1.231443083</v>
      </c>
      <c r="P4" s="3">
        <v>11.558777389999999</v>
      </c>
      <c r="Q4" s="3">
        <v>0.676265271</v>
      </c>
      <c r="R4" s="3">
        <v>0.58169638400000001</v>
      </c>
      <c r="S4" s="3">
        <v>33.25466393</v>
      </c>
      <c r="T4" s="3">
        <v>27.235678409999998</v>
      </c>
      <c r="U4" s="3">
        <v>24.678758460000001</v>
      </c>
      <c r="V4" s="3">
        <v>48.085563139999998</v>
      </c>
      <c r="W4" s="3">
        <v>45.536134769999997</v>
      </c>
      <c r="X4" s="3">
        <v>2.5494283690000001</v>
      </c>
      <c r="Y4">
        <v>45.536134773333337</v>
      </c>
    </row>
    <row r="5" spans="1:25">
      <c r="A5" t="s">
        <v>12</v>
      </c>
      <c r="B5" t="s">
        <v>9</v>
      </c>
      <c r="C5" s="3">
        <v>0.79905647400000002</v>
      </c>
      <c r="D5" s="3">
        <v>1.129996767</v>
      </c>
      <c r="E5" s="3">
        <v>1.5905440660000001</v>
      </c>
      <c r="F5" s="3">
        <v>17.844212710000001</v>
      </c>
      <c r="G5" s="3">
        <v>6.0166178199999996</v>
      </c>
      <c r="H5" s="3">
        <v>0.149196887</v>
      </c>
      <c r="I5" s="3">
        <v>0.493065435</v>
      </c>
      <c r="J5" s="3">
        <v>3.2595676189999998</v>
      </c>
      <c r="K5" s="3">
        <v>17.182748700000001</v>
      </c>
      <c r="L5" s="3">
        <v>0.88761158699999998</v>
      </c>
      <c r="M5" s="3">
        <v>0.63704915900000003</v>
      </c>
      <c r="N5" s="3">
        <v>1.4144857559999999</v>
      </c>
      <c r="O5" s="3">
        <v>1.1022718970000001</v>
      </c>
      <c r="P5" s="3">
        <v>10.51816685</v>
      </c>
      <c r="Q5" s="3">
        <v>1.0721189289999999</v>
      </c>
      <c r="R5" s="3">
        <v>1.391789647</v>
      </c>
      <c r="S5" s="3">
        <v>34.982994949999998</v>
      </c>
      <c r="T5" s="3">
        <v>25.71556503</v>
      </c>
      <c r="U5" s="3">
        <v>25.084221599999999</v>
      </c>
      <c r="V5" s="3">
        <v>49.20021337</v>
      </c>
      <c r="W5" s="3">
        <v>46.138210960000002</v>
      </c>
      <c r="X5" s="3">
        <v>3.0620024140000002</v>
      </c>
      <c r="Y5">
        <v>46.138210956666661</v>
      </c>
    </row>
    <row r="6" spans="1:25">
      <c r="A6" t="s">
        <v>13</v>
      </c>
      <c r="B6" t="s">
        <v>9</v>
      </c>
      <c r="C6" s="3">
        <v>0.79905647400000002</v>
      </c>
      <c r="D6" s="3">
        <v>1.129996767</v>
      </c>
      <c r="E6" s="3">
        <v>1.5905440660000001</v>
      </c>
      <c r="F6" s="3">
        <v>17.844212710000001</v>
      </c>
      <c r="G6" s="3">
        <v>6.0166178199999996</v>
      </c>
      <c r="H6" s="3">
        <v>0.149196887</v>
      </c>
      <c r="I6" s="3">
        <v>0.493065435</v>
      </c>
      <c r="J6" s="3">
        <v>3.2595676189999998</v>
      </c>
      <c r="K6" s="3">
        <v>17.182748700000001</v>
      </c>
      <c r="L6" s="3">
        <v>0.88761158699999998</v>
      </c>
      <c r="M6" s="3">
        <v>0.63704915900000003</v>
      </c>
      <c r="N6" s="3">
        <v>1.4144857559999999</v>
      </c>
      <c r="O6" s="3">
        <v>1.1022718970000001</v>
      </c>
      <c r="P6" s="3">
        <v>10.51816685</v>
      </c>
      <c r="Q6" s="3">
        <v>1.0721189289999999</v>
      </c>
      <c r="R6" s="3">
        <v>1.391789647</v>
      </c>
      <c r="S6" s="3">
        <v>34.982994949999998</v>
      </c>
      <c r="T6" s="3">
        <v>25.71556503</v>
      </c>
      <c r="U6" s="3">
        <v>25.084221599999999</v>
      </c>
      <c r="V6" s="3">
        <v>49.20021337</v>
      </c>
      <c r="W6" s="3">
        <v>46.138210960000002</v>
      </c>
      <c r="X6" s="3">
        <v>3.0620024140000002</v>
      </c>
      <c r="Y6">
        <v>46.138210956666661</v>
      </c>
    </row>
    <row r="7" spans="1:25">
      <c r="A7" t="s">
        <v>14</v>
      </c>
      <c r="B7" t="s">
        <v>9</v>
      </c>
      <c r="C7" s="3">
        <v>0.79905647400000002</v>
      </c>
      <c r="D7" s="3">
        <v>1.129996767</v>
      </c>
      <c r="E7" s="3">
        <v>1.5905440660000001</v>
      </c>
      <c r="F7" s="3">
        <v>17.844212710000001</v>
      </c>
      <c r="G7" s="3">
        <v>6.0166178199999996</v>
      </c>
      <c r="H7" s="3">
        <v>0.149196887</v>
      </c>
      <c r="I7" s="3">
        <v>0.493065435</v>
      </c>
      <c r="J7" s="3">
        <v>3.2595676189999998</v>
      </c>
      <c r="K7" s="3">
        <v>17.182748700000001</v>
      </c>
      <c r="L7" s="3">
        <v>0.88761158699999998</v>
      </c>
      <c r="M7" s="3">
        <v>0.63704915900000003</v>
      </c>
      <c r="N7" s="3">
        <v>1.4144857559999999</v>
      </c>
      <c r="O7" s="3">
        <v>1.1022718970000001</v>
      </c>
      <c r="P7" s="3">
        <v>10.51816685</v>
      </c>
      <c r="Q7" s="3">
        <v>1.0721189289999999</v>
      </c>
      <c r="R7" s="3">
        <v>1.391789647</v>
      </c>
      <c r="S7" s="3">
        <v>34.982994949999998</v>
      </c>
      <c r="T7" s="3">
        <v>25.71556503</v>
      </c>
      <c r="U7" s="3">
        <v>25.084221599999999</v>
      </c>
      <c r="V7" s="3">
        <v>49.20021337</v>
      </c>
      <c r="W7" s="3">
        <v>46.138210960000002</v>
      </c>
      <c r="X7" s="3">
        <v>3.0620024140000002</v>
      </c>
      <c r="Y7">
        <v>46.138210956666661</v>
      </c>
    </row>
    <row r="8" spans="1:25">
      <c r="A8" t="s">
        <v>15</v>
      </c>
      <c r="B8" t="s">
        <v>16</v>
      </c>
      <c r="C8" s="3">
        <v>0.85457047200000003</v>
      </c>
      <c r="D8" s="3">
        <v>1.2276325859999999</v>
      </c>
      <c r="E8" s="3">
        <v>1.852802141</v>
      </c>
      <c r="F8" s="3">
        <v>17.30763194</v>
      </c>
      <c r="G8" s="3">
        <v>8.7263789200000002</v>
      </c>
      <c r="H8" s="3">
        <v>0.13541536800000001</v>
      </c>
      <c r="I8" s="3">
        <v>0.62431055000000002</v>
      </c>
      <c r="J8" s="3">
        <v>2.8986652639999999</v>
      </c>
      <c r="K8" s="3">
        <v>21.00974458</v>
      </c>
      <c r="L8" s="3">
        <v>2.1709588549999999</v>
      </c>
      <c r="M8" s="3">
        <v>0.79236308200000005</v>
      </c>
      <c r="N8" s="3">
        <v>1.0384485059999999</v>
      </c>
      <c r="O8" s="3">
        <v>1.5015104699999999</v>
      </c>
      <c r="P8" s="3">
        <v>15.07001314</v>
      </c>
      <c r="Q8" s="3">
        <v>1.4020687919999999</v>
      </c>
      <c r="R8" s="3">
        <v>0.718690999</v>
      </c>
      <c r="S8" s="3">
        <v>23.828449599999999</v>
      </c>
      <c r="T8" s="3">
        <v>24.62286727</v>
      </c>
      <c r="U8" s="3">
        <v>31.079125049999998</v>
      </c>
      <c r="V8" s="3">
        <v>44.298007679999998</v>
      </c>
      <c r="W8" s="3">
        <v>39.690825820000001</v>
      </c>
      <c r="X8" s="3">
        <v>4.6071818530000002</v>
      </c>
      <c r="Y8">
        <v>39.690825823333327</v>
      </c>
    </row>
    <row r="9" spans="1:25">
      <c r="A9" t="s">
        <v>17</v>
      </c>
      <c r="B9" t="s">
        <v>16</v>
      </c>
      <c r="C9" s="3">
        <v>0.85457047200000003</v>
      </c>
      <c r="D9" s="3">
        <v>1.2276325859999999</v>
      </c>
      <c r="E9" s="3">
        <v>1.852802141</v>
      </c>
      <c r="F9" s="3">
        <v>17.30763194</v>
      </c>
      <c r="G9" s="3">
        <v>8.7263789200000002</v>
      </c>
      <c r="H9" s="3">
        <v>0.13541536800000001</v>
      </c>
      <c r="I9" s="3">
        <v>0.62431055000000002</v>
      </c>
      <c r="J9" s="3">
        <v>2.8986652639999999</v>
      </c>
      <c r="K9" s="3">
        <v>21.00974458</v>
      </c>
      <c r="L9" s="3">
        <v>2.1709588549999999</v>
      </c>
      <c r="M9" s="3">
        <v>0.79236308200000005</v>
      </c>
      <c r="N9" s="3">
        <v>1.0384485059999999</v>
      </c>
      <c r="O9" s="3">
        <v>1.5015104699999999</v>
      </c>
      <c r="P9" s="3">
        <v>15.07001314</v>
      </c>
      <c r="Q9" s="3">
        <v>1.4020687919999999</v>
      </c>
      <c r="R9" s="3">
        <v>0.718690999</v>
      </c>
      <c r="S9" s="3">
        <v>23.828449599999999</v>
      </c>
      <c r="T9" s="3">
        <v>24.62286727</v>
      </c>
      <c r="U9" s="3">
        <v>31.079125049999998</v>
      </c>
      <c r="V9" s="3">
        <v>44.298007679999998</v>
      </c>
      <c r="W9" s="3">
        <v>39.690825820000001</v>
      </c>
      <c r="X9" s="3">
        <v>4.6071818530000002</v>
      </c>
      <c r="Y9">
        <v>39.690825823333327</v>
      </c>
    </row>
    <row r="10" spans="1:25">
      <c r="A10" t="s">
        <v>18</v>
      </c>
      <c r="B10" t="s">
        <v>16</v>
      </c>
      <c r="C10" s="3">
        <v>0.85457047200000003</v>
      </c>
      <c r="D10" s="3">
        <v>1.2276325859999999</v>
      </c>
      <c r="E10" s="3">
        <v>1.852802141</v>
      </c>
      <c r="F10" s="3">
        <v>17.30763194</v>
      </c>
      <c r="G10" s="3">
        <v>8.7263789200000002</v>
      </c>
      <c r="H10" s="3">
        <v>0.13541536800000001</v>
      </c>
      <c r="I10" s="3">
        <v>0.62431055000000002</v>
      </c>
      <c r="J10" s="3">
        <v>2.8986652639999999</v>
      </c>
      <c r="K10" s="3">
        <v>21.00974458</v>
      </c>
      <c r="L10" s="3">
        <v>2.1709588549999999</v>
      </c>
      <c r="M10" s="3">
        <v>0.79236308200000005</v>
      </c>
      <c r="N10" s="3">
        <v>1.0384485059999999</v>
      </c>
      <c r="O10" s="3">
        <v>1.5015104699999999</v>
      </c>
      <c r="P10" s="3">
        <v>15.07001314</v>
      </c>
      <c r="Q10" s="3">
        <v>1.4020687919999999</v>
      </c>
      <c r="R10" s="3">
        <v>0.718690999</v>
      </c>
      <c r="S10" s="3">
        <v>23.828449599999999</v>
      </c>
      <c r="T10" s="3">
        <v>24.62286727</v>
      </c>
      <c r="U10" s="3">
        <v>31.079125049999998</v>
      </c>
      <c r="V10" s="3">
        <v>44.298007679999998</v>
      </c>
      <c r="W10" s="3">
        <v>39.690825820000001</v>
      </c>
      <c r="X10" s="3">
        <v>4.6071818530000002</v>
      </c>
      <c r="Y10">
        <v>39.690825823333327</v>
      </c>
    </row>
    <row r="11" spans="1:25">
      <c r="A11" t="s">
        <v>19</v>
      </c>
      <c r="B11" t="s">
        <v>16</v>
      </c>
      <c r="C11" s="3">
        <v>1.490250098</v>
      </c>
      <c r="D11" s="3">
        <v>2.0767548630000001</v>
      </c>
      <c r="E11" s="3">
        <v>2.9008028029999999</v>
      </c>
      <c r="F11" s="3">
        <v>16.337860639999999</v>
      </c>
      <c r="G11" s="3">
        <v>10.14850152</v>
      </c>
      <c r="H11" s="3">
        <v>0.174283358</v>
      </c>
      <c r="I11" s="3">
        <v>1.56906116</v>
      </c>
      <c r="J11" s="3">
        <v>2.824890898</v>
      </c>
      <c r="K11" s="3">
        <v>15.786732929999999</v>
      </c>
      <c r="L11" s="3">
        <v>1.0406698940000001</v>
      </c>
      <c r="M11" s="3">
        <v>0.97490633199999999</v>
      </c>
      <c r="N11" s="3" t="s">
        <v>321</v>
      </c>
      <c r="O11" s="3">
        <v>1.6543352710000001</v>
      </c>
      <c r="P11" s="3">
        <v>19.661598290000001</v>
      </c>
      <c r="Q11" s="3">
        <v>1.3080205600000001</v>
      </c>
      <c r="R11" s="3">
        <v>0.43381803299999999</v>
      </c>
      <c r="S11" s="3">
        <v>21.76211936</v>
      </c>
      <c r="T11" s="3">
        <v>25.804842669999999</v>
      </c>
      <c r="U11" s="3">
        <v>27.793507630000001</v>
      </c>
      <c r="V11" s="3">
        <v>46.401649710000001</v>
      </c>
      <c r="W11" s="3">
        <v>42.398623980000004</v>
      </c>
      <c r="X11" s="3">
        <v>4.0030257259999997</v>
      </c>
      <c r="Y11" s="3">
        <v>42.398623980000004</v>
      </c>
    </row>
    <row r="12" spans="1:25">
      <c r="A12" t="s">
        <v>20</v>
      </c>
      <c r="B12" t="s">
        <v>16</v>
      </c>
      <c r="C12" s="3">
        <v>1.490250098</v>
      </c>
      <c r="D12" s="3">
        <v>2.0767548630000001</v>
      </c>
      <c r="E12" s="3">
        <v>2.9008028029999999</v>
      </c>
      <c r="F12" s="3">
        <v>16.337860639999999</v>
      </c>
      <c r="G12" s="3">
        <v>10.14850152</v>
      </c>
      <c r="H12" s="3">
        <v>0.174283358</v>
      </c>
      <c r="I12" s="3">
        <v>1.56906116</v>
      </c>
      <c r="J12" s="3">
        <v>2.824890898</v>
      </c>
      <c r="K12" s="3">
        <v>15.786732929999999</v>
      </c>
      <c r="L12" s="3">
        <v>1.0406698940000001</v>
      </c>
      <c r="M12" s="3">
        <v>0.97490633199999999</v>
      </c>
      <c r="N12" s="3" t="s">
        <v>321</v>
      </c>
      <c r="O12" s="3">
        <v>1.6543352710000001</v>
      </c>
      <c r="P12" s="3">
        <v>19.661598290000001</v>
      </c>
      <c r="Q12" s="3">
        <v>1.3080205600000001</v>
      </c>
      <c r="R12" s="3">
        <v>0.43381803299999999</v>
      </c>
      <c r="S12" s="3">
        <v>21.76211936</v>
      </c>
      <c r="T12" s="3">
        <v>25.804842669999999</v>
      </c>
      <c r="U12" s="3">
        <v>27.793507630000001</v>
      </c>
      <c r="V12" s="3">
        <v>46.401649710000001</v>
      </c>
      <c r="W12" s="3">
        <v>42.398623980000004</v>
      </c>
      <c r="X12" s="3">
        <v>4.0030257259999997</v>
      </c>
      <c r="Y12" s="3">
        <v>42.398623980000004</v>
      </c>
    </row>
    <row r="13" spans="1:25">
      <c r="A13" t="s">
        <v>21</v>
      </c>
      <c r="B13" t="s">
        <v>16</v>
      </c>
      <c r="C13" s="3">
        <v>1.490250098</v>
      </c>
      <c r="D13" s="3">
        <v>2.0767548630000001</v>
      </c>
      <c r="E13" s="3">
        <v>2.9008028029999999</v>
      </c>
      <c r="F13" s="3">
        <v>16.337860639999999</v>
      </c>
      <c r="G13" s="3">
        <v>10.14850152</v>
      </c>
      <c r="H13" s="3">
        <v>0.174283358</v>
      </c>
      <c r="I13" s="3">
        <v>1.56906116</v>
      </c>
      <c r="J13" s="3">
        <v>2.824890898</v>
      </c>
      <c r="K13" s="3">
        <v>15.786732929999999</v>
      </c>
      <c r="L13" s="3">
        <v>1.0406698940000001</v>
      </c>
      <c r="M13" s="3">
        <v>0.97490633199999999</v>
      </c>
      <c r="N13" s="3" t="s">
        <v>321</v>
      </c>
      <c r="O13" s="3">
        <v>1.6543352710000001</v>
      </c>
      <c r="P13" s="3">
        <v>19.661598290000001</v>
      </c>
      <c r="Q13" s="3">
        <v>1.3080205600000001</v>
      </c>
      <c r="R13" s="3">
        <v>0.43381803299999999</v>
      </c>
      <c r="S13" s="3">
        <v>21.76211936</v>
      </c>
      <c r="T13" s="3">
        <v>25.804842669999999</v>
      </c>
      <c r="U13" s="3">
        <v>27.793507630000001</v>
      </c>
      <c r="V13" s="3">
        <v>46.401649710000001</v>
      </c>
      <c r="W13" s="3">
        <v>42.398623980000004</v>
      </c>
      <c r="X13" s="3">
        <v>4.0030257259999997</v>
      </c>
      <c r="Y13" s="3">
        <v>42.398623980000004</v>
      </c>
    </row>
    <row r="14" spans="1:25">
      <c r="A14" t="s">
        <v>22</v>
      </c>
      <c r="B14" t="s">
        <v>16</v>
      </c>
      <c r="C14" s="3">
        <v>0.898741762</v>
      </c>
      <c r="D14" s="3">
        <v>1.261762944</v>
      </c>
      <c r="E14" s="3">
        <v>1.6106862159999999</v>
      </c>
      <c r="F14" s="3">
        <v>20.667536040000002</v>
      </c>
      <c r="G14" s="3">
        <v>5.5334296690000002</v>
      </c>
      <c r="H14" s="3">
        <v>0.15155253199999999</v>
      </c>
      <c r="I14" s="3">
        <v>0.81415430200000005</v>
      </c>
      <c r="J14" s="3">
        <v>2.6609805099999999</v>
      </c>
      <c r="K14" s="3">
        <v>22.324040459999999</v>
      </c>
      <c r="L14" s="3">
        <v>5.3924505690000002</v>
      </c>
      <c r="M14" s="3">
        <v>0.81062982400000005</v>
      </c>
      <c r="N14" s="3" t="s">
        <v>321</v>
      </c>
      <c r="O14" s="3">
        <v>1.3252035390000001</v>
      </c>
      <c r="P14" s="3">
        <v>5.1774574419999997</v>
      </c>
      <c r="Q14" s="3">
        <v>0.72251788699999997</v>
      </c>
      <c r="R14" s="3">
        <v>1.0044760859999999</v>
      </c>
      <c r="S14" s="3">
        <v>29.644380219999999</v>
      </c>
      <c r="T14" s="3">
        <v>27.251259999999998</v>
      </c>
      <c r="U14" s="3">
        <v>29.676100519999999</v>
      </c>
      <c r="V14" s="3">
        <v>43.072639479999999</v>
      </c>
      <c r="W14" s="3">
        <v>35.632467490000003</v>
      </c>
      <c r="X14" s="3">
        <v>7.440171995</v>
      </c>
      <c r="Y14" s="3">
        <v>35.632467490000003</v>
      </c>
    </row>
    <row r="15" spans="1:25">
      <c r="A15" t="s">
        <v>23</v>
      </c>
      <c r="B15" t="s">
        <v>16</v>
      </c>
      <c r="C15" s="3">
        <v>0.898741762</v>
      </c>
      <c r="D15" s="3">
        <v>1.261762944</v>
      </c>
      <c r="E15" s="3">
        <v>1.6106862159999999</v>
      </c>
      <c r="F15" s="3">
        <v>20.667536040000002</v>
      </c>
      <c r="G15" s="3">
        <v>5.5334296690000002</v>
      </c>
      <c r="H15" s="3">
        <v>0.15155253199999999</v>
      </c>
      <c r="I15" s="3">
        <v>0.81415430200000005</v>
      </c>
      <c r="J15" s="3">
        <v>2.6609805099999999</v>
      </c>
      <c r="K15" s="3">
        <v>22.324040459999999</v>
      </c>
      <c r="L15" s="3">
        <v>5.3924505690000002</v>
      </c>
      <c r="M15" s="3">
        <v>0.81062982400000005</v>
      </c>
      <c r="N15" s="3" t="s">
        <v>321</v>
      </c>
      <c r="O15" s="3">
        <v>1.3252035390000001</v>
      </c>
      <c r="P15" s="3">
        <v>5.1774574419999997</v>
      </c>
      <c r="Q15" s="3">
        <v>0.72251788699999997</v>
      </c>
      <c r="R15" s="3">
        <v>1.0044760859999999</v>
      </c>
      <c r="S15" s="3">
        <v>29.644380219999999</v>
      </c>
      <c r="T15" s="3">
        <v>27.251259999999998</v>
      </c>
      <c r="U15" s="3">
        <v>29.676100519999999</v>
      </c>
      <c r="V15" s="3">
        <v>43.072639479999999</v>
      </c>
      <c r="W15" s="3">
        <v>35.632467490000003</v>
      </c>
      <c r="X15" s="3">
        <v>7.440171995</v>
      </c>
      <c r="Y15" s="3">
        <v>35.632467490000003</v>
      </c>
    </row>
    <row r="16" spans="1:25">
      <c r="A16" t="s">
        <v>24</v>
      </c>
      <c r="B16" t="s">
        <v>16</v>
      </c>
      <c r="C16" s="3">
        <v>0.898741762</v>
      </c>
      <c r="D16" s="3">
        <v>1.261762944</v>
      </c>
      <c r="E16" s="3">
        <v>1.6106862159999999</v>
      </c>
      <c r="F16" s="3">
        <v>20.667536040000002</v>
      </c>
      <c r="G16" s="3">
        <v>5.5334296690000002</v>
      </c>
      <c r="H16" s="3">
        <v>0.15155253199999999</v>
      </c>
      <c r="I16" s="3">
        <v>0.81415430200000005</v>
      </c>
      <c r="J16" s="3">
        <v>2.6609805099999999</v>
      </c>
      <c r="K16" s="3">
        <v>22.324040459999999</v>
      </c>
      <c r="L16" s="3">
        <v>5.3924505690000002</v>
      </c>
      <c r="M16" s="3">
        <v>0.81062982400000005</v>
      </c>
      <c r="N16" s="3" t="s">
        <v>321</v>
      </c>
      <c r="O16" s="3">
        <v>1.3252035390000001</v>
      </c>
      <c r="P16" s="3">
        <v>5.1774574419999997</v>
      </c>
      <c r="Q16" s="3">
        <v>0.72251788699999997</v>
      </c>
      <c r="R16" s="3">
        <v>1.0044760859999999</v>
      </c>
      <c r="S16" s="3">
        <v>29.644380219999999</v>
      </c>
      <c r="T16" s="3">
        <v>27.251259999999998</v>
      </c>
      <c r="U16" s="3">
        <v>29.676100519999999</v>
      </c>
      <c r="V16" s="3">
        <v>43.072639479999999</v>
      </c>
      <c r="W16" s="3">
        <v>35.632467490000003</v>
      </c>
      <c r="X16" s="3">
        <v>7.440171995</v>
      </c>
      <c r="Y16" s="3">
        <v>35.632467490000003</v>
      </c>
    </row>
    <row r="17" spans="1:25">
      <c r="A17" t="s">
        <v>25</v>
      </c>
      <c r="B17" t="s">
        <v>16</v>
      </c>
      <c r="C17" s="3">
        <v>0.635314555</v>
      </c>
      <c r="D17" s="3">
        <v>0.89092939599999998</v>
      </c>
      <c r="E17" s="3">
        <v>1.297927783</v>
      </c>
      <c r="F17" s="3">
        <v>17.625015510000001</v>
      </c>
      <c r="G17" s="3">
        <v>7.1596972330000002</v>
      </c>
      <c r="H17" s="3">
        <v>0.163792034</v>
      </c>
      <c r="I17" s="3">
        <v>0.456632337</v>
      </c>
      <c r="J17" s="3">
        <v>2.5710385900000001</v>
      </c>
      <c r="K17" s="3">
        <v>21.776895400000001</v>
      </c>
      <c r="L17" s="3">
        <v>5.0006204240000001</v>
      </c>
      <c r="M17" s="3">
        <v>1.106837077</v>
      </c>
      <c r="N17" s="3">
        <v>1.3004094799999999</v>
      </c>
      <c r="O17" s="3">
        <v>1.121727261</v>
      </c>
      <c r="P17" s="3">
        <v>4.4372750959999996</v>
      </c>
      <c r="Q17" s="3">
        <v>0.85370393300000003</v>
      </c>
      <c r="R17" s="3">
        <v>1.2681474129999999</v>
      </c>
      <c r="S17" s="3">
        <v>32.334036480000002</v>
      </c>
      <c r="T17" s="3">
        <v>24.484427350000001</v>
      </c>
      <c r="U17" s="3">
        <v>30.66137238</v>
      </c>
      <c r="V17" s="3">
        <v>44.85420027</v>
      </c>
      <c r="W17" s="3">
        <v>37.87814865</v>
      </c>
      <c r="X17" s="3">
        <v>6.9760516189999997</v>
      </c>
      <c r="Y17" s="3">
        <v>37.87814865</v>
      </c>
    </row>
    <row r="18" spans="1:25">
      <c r="A18" t="s">
        <v>26</v>
      </c>
      <c r="B18" t="s">
        <v>16</v>
      </c>
      <c r="C18" s="3">
        <v>0.635314555</v>
      </c>
      <c r="D18" s="3">
        <v>0.89092939599999998</v>
      </c>
      <c r="E18" s="3">
        <v>1.297927783</v>
      </c>
      <c r="F18" s="3">
        <v>17.625015510000001</v>
      </c>
      <c r="G18" s="3">
        <v>7.1596972330000002</v>
      </c>
      <c r="H18" s="3">
        <v>0.163792034</v>
      </c>
      <c r="I18" s="3">
        <v>0.456632337</v>
      </c>
      <c r="J18" s="3">
        <v>2.5710385900000001</v>
      </c>
      <c r="K18" s="3">
        <v>21.776895400000001</v>
      </c>
      <c r="L18" s="3">
        <v>5.0006204240000001</v>
      </c>
      <c r="M18" s="3">
        <v>1.106837077</v>
      </c>
      <c r="N18" s="3">
        <v>1.3004094799999999</v>
      </c>
      <c r="O18" s="3">
        <v>1.121727261</v>
      </c>
      <c r="P18" s="3">
        <v>4.4372750959999996</v>
      </c>
      <c r="Q18" s="3">
        <v>0.85370393300000003</v>
      </c>
      <c r="R18" s="3">
        <v>1.2681474129999999</v>
      </c>
      <c r="S18" s="3">
        <v>32.334036480000002</v>
      </c>
      <c r="T18" s="3">
        <v>24.484427350000001</v>
      </c>
      <c r="U18" s="3">
        <v>30.66137238</v>
      </c>
      <c r="V18" s="3">
        <v>44.85420027</v>
      </c>
      <c r="W18" s="3">
        <v>37.87814865</v>
      </c>
      <c r="X18" s="3">
        <v>6.9760516189999997</v>
      </c>
      <c r="Y18" s="3">
        <v>37.87814865</v>
      </c>
    </row>
    <row r="19" spans="1:25">
      <c r="A19" t="s">
        <v>27</v>
      </c>
      <c r="B19" t="s">
        <v>16</v>
      </c>
      <c r="C19" s="3">
        <v>0.635314555</v>
      </c>
      <c r="D19" s="3">
        <v>0.89092939599999998</v>
      </c>
      <c r="E19" s="3">
        <v>1.297927783</v>
      </c>
      <c r="F19" s="3">
        <v>17.625015510000001</v>
      </c>
      <c r="G19" s="3">
        <v>7.1596972330000002</v>
      </c>
      <c r="H19" s="3">
        <v>0.163792034</v>
      </c>
      <c r="I19" s="3">
        <v>0.456632337</v>
      </c>
      <c r="J19" s="3">
        <v>2.5710385900000001</v>
      </c>
      <c r="K19" s="3">
        <v>21.776895400000001</v>
      </c>
      <c r="L19" s="3">
        <v>5.0006204240000001</v>
      </c>
      <c r="M19" s="3">
        <v>1.106837077</v>
      </c>
      <c r="N19" s="3">
        <v>1.3004094799999999</v>
      </c>
      <c r="O19" s="3">
        <v>1.121727261</v>
      </c>
      <c r="P19" s="3">
        <v>4.4372750959999996</v>
      </c>
      <c r="Q19" s="3">
        <v>0.85370393300000003</v>
      </c>
      <c r="R19" s="3">
        <v>1.2681474129999999</v>
      </c>
      <c r="S19" s="3">
        <v>32.334036480000002</v>
      </c>
      <c r="T19" s="3">
        <v>24.484427350000001</v>
      </c>
      <c r="U19" s="3">
        <v>30.66137238</v>
      </c>
      <c r="V19" s="3">
        <v>44.85420027</v>
      </c>
      <c r="W19" s="3">
        <v>37.87814865</v>
      </c>
      <c r="X19" s="3">
        <v>6.9760516189999997</v>
      </c>
      <c r="Y19" s="3">
        <v>37.87814865</v>
      </c>
    </row>
    <row r="20" spans="1:25">
      <c r="A20" t="s">
        <v>28</v>
      </c>
      <c r="B20" t="s">
        <v>16</v>
      </c>
      <c r="C20" s="3">
        <v>0.92541588600000002</v>
      </c>
      <c r="D20" s="3">
        <v>1.3146781240000001</v>
      </c>
      <c r="E20" s="3">
        <v>1.792075208</v>
      </c>
      <c r="F20" s="3">
        <v>19.51819617</v>
      </c>
      <c r="G20" s="3">
        <v>5.5010833239999997</v>
      </c>
      <c r="H20" s="3">
        <v>0.19463111899999999</v>
      </c>
      <c r="I20" s="3">
        <v>0.61327163900000004</v>
      </c>
      <c r="J20" s="3">
        <v>2.7946090849999998</v>
      </c>
      <c r="K20" s="3">
        <v>22.639638649999998</v>
      </c>
      <c r="L20" s="3">
        <v>4.8621056879999998</v>
      </c>
      <c r="M20" s="3">
        <v>1.098013294</v>
      </c>
      <c r="N20" s="3" t="s">
        <v>321</v>
      </c>
      <c r="O20" s="3">
        <v>1.4211743969999999</v>
      </c>
      <c r="P20" s="3">
        <v>4.8657779740000002</v>
      </c>
      <c r="Q20" s="3" t="s">
        <v>321</v>
      </c>
      <c r="R20" s="3">
        <v>1.013550733</v>
      </c>
      <c r="S20" s="3">
        <v>31.445778709999999</v>
      </c>
      <c r="T20" s="3">
        <v>26.539605600000002</v>
      </c>
      <c r="U20" s="3">
        <v>29.767544340000001</v>
      </c>
      <c r="V20" s="3">
        <v>43.692850059999998</v>
      </c>
      <c r="W20" s="3">
        <v>37.409569980000001</v>
      </c>
      <c r="X20" s="3">
        <v>6.2832800850000003</v>
      </c>
      <c r="Y20" s="3">
        <v>37.409569980000001</v>
      </c>
    </row>
    <row r="21" spans="1:25">
      <c r="A21" t="s">
        <v>29</v>
      </c>
      <c r="B21" t="s">
        <v>16</v>
      </c>
      <c r="C21" s="3">
        <v>0.92541588600000002</v>
      </c>
      <c r="D21" s="3">
        <v>1.3146781240000001</v>
      </c>
      <c r="E21" s="3">
        <v>1.792075208</v>
      </c>
      <c r="F21" s="3">
        <v>19.51819617</v>
      </c>
      <c r="G21" s="3">
        <v>5.5010833239999997</v>
      </c>
      <c r="H21" s="3">
        <v>0.19463111899999999</v>
      </c>
      <c r="I21" s="3">
        <v>0.61327163900000004</v>
      </c>
      <c r="J21" s="3">
        <v>2.7946090849999998</v>
      </c>
      <c r="K21" s="3">
        <v>22.639638649999998</v>
      </c>
      <c r="L21" s="3">
        <v>4.8621056879999998</v>
      </c>
      <c r="M21" s="3">
        <v>1.098013294</v>
      </c>
      <c r="N21" s="3" t="s">
        <v>321</v>
      </c>
      <c r="O21" s="3">
        <v>1.4211743969999999</v>
      </c>
      <c r="P21" s="3">
        <v>4.8657779740000002</v>
      </c>
      <c r="Q21" s="3" t="s">
        <v>321</v>
      </c>
      <c r="R21" s="3">
        <v>1.013550733</v>
      </c>
      <c r="S21" s="3">
        <v>31.445778709999999</v>
      </c>
      <c r="T21" s="3">
        <v>26.539605600000002</v>
      </c>
      <c r="U21" s="3">
        <v>29.767544340000001</v>
      </c>
      <c r="V21" s="3">
        <v>43.692850059999998</v>
      </c>
      <c r="W21" s="3">
        <v>37.409569980000001</v>
      </c>
      <c r="X21" s="3">
        <v>6.2832800850000003</v>
      </c>
      <c r="Y21" s="3">
        <v>37.409569980000001</v>
      </c>
    </row>
    <row r="22" spans="1:25">
      <c r="A22" t="s">
        <v>30</v>
      </c>
      <c r="B22" t="s">
        <v>16</v>
      </c>
      <c r="C22" s="3">
        <v>0.92541588600000002</v>
      </c>
      <c r="D22" s="3">
        <v>1.3146781240000001</v>
      </c>
      <c r="E22" s="3">
        <v>1.792075208</v>
      </c>
      <c r="F22" s="3">
        <v>19.51819617</v>
      </c>
      <c r="G22" s="3">
        <v>5.5010833239999997</v>
      </c>
      <c r="H22" s="3">
        <v>0.19463111899999999</v>
      </c>
      <c r="I22" s="3">
        <v>0.61327163900000004</v>
      </c>
      <c r="J22" s="3">
        <v>2.7946090849999998</v>
      </c>
      <c r="K22" s="3">
        <v>22.639638649999998</v>
      </c>
      <c r="L22" s="3">
        <v>4.8621056879999998</v>
      </c>
      <c r="M22" s="3">
        <v>1.098013294</v>
      </c>
      <c r="N22" s="3" t="s">
        <v>321</v>
      </c>
      <c r="O22" s="3">
        <v>1.4211743969999999</v>
      </c>
      <c r="P22" s="3">
        <v>4.8657779740000002</v>
      </c>
      <c r="Q22" s="3" t="s">
        <v>321</v>
      </c>
      <c r="R22" s="3">
        <v>1.013550733</v>
      </c>
      <c r="S22" s="3">
        <v>31.445778709999999</v>
      </c>
      <c r="T22" s="3">
        <v>26.539605600000002</v>
      </c>
      <c r="U22" s="3">
        <v>29.767544340000001</v>
      </c>
      <c r="V22" s="3">
        <v>43.692850059999998</v>
      </c>
      <c r="W22" s="3">
        <v>37.409569980000001</v>
      </c>
      <c r="X22" s="3">
        <v>6.2832800850000003</v>
      </c>
      <c r="Y22" s="3">
        <v>37.409569980000001</v>
      </c>
    </row>
    <row r="23" spans="1:25">
      <c r="A23" t="s">
        <v>31</v>
      </c>
      <c r="B23" t="s">
        <v>16</v>
      </c>
      <c r="C23" s="3">
        <v>0.46383844200000002</v>
      </c>
      <c r="D23" s="3">
        <v>0.65650979399999998</v>
      </c>
      <c r="E23" s="3">
        <v>1.932065508</v>
      </c>
      <c r="F23" s="3">
        <v>18.4821779</v>
      </c>
      <c r="G23" s="3">
        <v>9.0359296390000008</v>
      </c>
      <c r="H23" s="3">
        <v>0.10703964000000001</v>
      </c>
      <c r="I23" s="3">
        <v>0.22478324499999999</v>
      </c>
      <c r="J23" s="3">
        <v>3.378884647</v>
      </c>
      <c r="K23" s="3">
        <v>10.06172619</v>
      </c>
      <c r="L23" s="3">
        <v>1.0275805469999999</v>
      </c>
      <c r="M23" s="3">
        <v>0.38177471699999999</v>
      </c>
      <c r="N23" s="3">
        <v>0.94194883500000004</v>
      </c>
      <c r="O23" s="3">
        <v>1.4539551150000001</v>
      </c>
      <c r="P23" s="3">
        <v>24.378278089999998</v>
      </c>
      <c r="Q23" s="3">
        <v>0.35144681900000002</v>
      </c>
      <c r="R23" s="3">
        <v>1.0650444210000001</v>
      </c>
      <c r="S23" s="3">
        <v>26.057016449999999</v>
      </c>
      <c r="T23" s="3">
        <v>25.96246477</v>
      </c>
      <c r="U23" s="3">
        <v>20.387483499999998</v>
      </c>
      <c r="V23" s="3">
        <v>53.650051740000002</v>
      </c>
      <c r="W23" s="3">
        <v>50.817069250000003</v>
      </c>
      <c r="X23" s="3">
        <v>2.8329824810000002</v>
      </c>
      <c r="Y23" s="3">
        <v>50.817069250000003</v>
      </c>
    </row>
    <row r="24" spans="1:25">
      <c r="A24" t="s">
        <v>32</v>
      </c>
      <c r="B24" t="s">
        <v>16</v>
      </c>
      <c r="C24" s="3">
        <v>0.46383844200000002</v>
      </c>
      <c r="D24" s="3">
        <v>0.65650979399999998</v>
      </c>
      <c r="E24" s="3">
        <v>1.932065508</v>
      </c>
      <c r="F24" s="3">
        <v>18.4821779</v>
      </c>
      <c r="G24" s="3">
        <v>9.0359296390000008</v>
      </c>
      <c r="H24" s="3">
        <v>0.10703964000000001</v>
      </c>
      <c r="I24" s="3">
        <v>0.22478324499999999</v>
      </c>
      <c r="J24" s="3">
        <v>3.378884647</v>
      </c>
      <c r="K24" s="3">
        <v>10.06172619</v>
      </c>
      <c r="L24" s="3">
        <v>1.0275805469999999</v>
      </c>
      <c r="M24" s="3">
        <v>0.38177471699999999</v>
      </c>
      <c r="N24" s="3">
        <v>0.94194883500000004</v>
      </c>
      <c r="O24" s="3">
        <v>1.4539551150000001</v>
      </c>
      <c r="P24" s="3">
        <v>24.378278089999998</v>
      </c>
      <c r="Q24" s="3">
        <v>0.35144681900000002</v>
      </c>
      <c r="R24" s="3">
        <v>1.0650444210000001</v>
      </c>
      <c r="S24" s="3">
        <v>26.057016449999999</v>
      </c>
      <c r="T24" s="3">
        <v>25.96246477</v>
      </c>
      <c r="U24" s="3">
        <v>20.387483499999998</v>
      </c>
      <c r="V24" s="3">
        <v>53.650051740000002</v>
      </c>
      <c r="W24" s="3">
        <v>50.817069250000003</v>
      </c>
      <c r="X24" s="3">
        <v>2.8329824810000002</v>
      </c>
      <c r="Y24" s="3">
        <v>50.817069250000003</v>
      </c>
    </row>
    <row r="25" spans="1:25">
      <c r="A25" t="s">
        <v>33</v>
      </c>
      <c r="B25" t="s">
        <v>16</v>
      </c>
      <c r="C25" s="3">
        <v>0.46383844200000002</v>
      </c>
      <c r="D25" s="3">
        <v>0.65650979399999998</v>
      </c>
      <c r="E25" s="3">
        <v>1.932065508</v>
      </c>
      <c r="F25" s="3">
        <v>18.4821779</v>
      </c>
      <c r="G25" s="3">
        <v>9.0359296390000008</v>
      </c>
      <c r="H25" s="3">
        <v>0.10703964000000001</v>
      </c>
      <c r="I25" s="3">
        <v>0.22478324499999999</v>
      </c>
      <c r="J25" s="3">
        <v>3.378884647</v>
      </c>
      <c r="K25" s="3">
        <v>10.06172619</v>
      </c>
      <c r="L25" s="3">
        <v>1.0275805469999999</v>
      </c>
      <c r="M25" s="3">
        <v>0.38177471699999999</v>
      </c>
      <c r="N25" s="3">
        <v>0.94194883500000004</v>
      </c>
      <c r="O25" s="3">
        <v>1.4539551150000001</v>
      </c>
      <c r="P25" s="3">
        <v>24.378278089999998</v>
      </c>
      <c r="Q25" s="3">
        <v>0.35144681900000002</v>
      </c>
      <c r="R25" s="3">
        <v>1.0650444210000001</v>
      </c>
      <c r="S25" s="3">
        <v>26.057016449999999</v>
      </c>
      <c r="T25" s="3">
        <v>25.96246477</v>
      </c>
      <c r="U25" s="3">
        <v>20.387483499999998</v>
      </c>
      <c r="V25" s="3">
        <v>53.650051740000002</v>
      </c>
      <c r="W25" s="3">
        <v>50.817069250000003</v>
      </c>
      <c r="X25" s="3">
        <v>2.8329824810000002</v>
      </c>
      <c r="Y25" s="3">
        <v>50.817069250000003</v>
      </c>
    </row>
    <row r="26" spans="1:25">
      <c r="A26" t="s">
        <v>34</v>
      </c>
      <c r="B26" t="s">
        <v>16</v>
      </c>
      <c r="C26" s="3">
        <v>0.70373036</v>
      </c>
      <c r="D26" s="3">
        <v>0.99383111000000002</v>
      </c>
      <c r="E26" s="3">
        <v>1.3746010120000001</v>
      </c>
      <c r="F26" s="3">
        <v>16.681416429999999</v>
      </c>
      <c r="G26" s="3">
        <v>5.5505475960000004</v>
      </c>
      <c r="H26" s="3">
        <v>0.13741867999999999</v>
      </c>
      <c r="I26" s="3">
        <v>0.401883987</v>
      </c>
      <c r="J26" s="3">
        <v>4.0320103850000004</v>
      </c>
      <c r="K26" s="3">
        <v>28.13182252</v>
      </c>
      <c r="L26" s="3">
        <v>5.0991573089999997</v>
      </c>
      <c r="M26" s="3">
        <v>0.82885434400000002</v>
      </c>
      <c r="N26" s="3">
        <v>1.4393803359999999</v>
      </c>
      <c r="O26" s="3">
        <v>1.202954758</v>
      </c>
      <c r="P26" s="3">
        <v>4.1796819779999996</v>
      </c>
      <c r="Q26" s="3">
        <v>0.51455128900000002</v>
      </c>
      <c r="R26" s="3">
        <v>1.168644419</v>
      </c>
      <c r="S26" s="3">
        <v>27.816789140000001</v>
      </c>
      <c r="T26" s="3">
        <v>25.36238831</v>
      </c>
      <c r="U26" s="3">
        <v>35.252898520000002</v>
      </c>
      <c r="V26" s="3">
        <v>39.384713169999998</v>
      </c>
      <c r="W26" s="3">
        <v>32.825325460000002</v>
      </c>
      <c r="X26" s="3">
        <v>6.5593877120000004</v>
      </c>
      <c r="Y26">
        <v>32.825325460000002</v>
      </c>
    </row>
    <row r="27" spans="1:25">
      <c r="A27" t="s">
        <v>35</v>
      </c>
      <c r="B27" t="s">
        <v>16</v>
      </c>
      <c r="C27" s="3">
        <v>0.70373036</v>
      </c>
      <c r="D27" s="3">
        <v>0.99383111000000002</v>
      </c>
      <c r="E27" s="3">
        <v>1.3746010120000001</v>
      </c>
      <c r="F27" s="3">
        <v>16.681416429999999</v>
      </c>
      <c r="G27" s="3">
        <v>5.5505475960000004</v>
      </c>
      <c r="H27" s="3">
        <v>0.13741867999999999</v>
      </c>
      <c r="I27" s="3">
        <v>0.401883987</v>
      </c>
      <c r="J27" s="3">
        <v>4.0320103850000004</v>
      </c>
      <c r="K27" s="3">
        <v>28.13182252</v>
      </c>
      <c r="L27" s="3">
        <v>5.0991573089999997</v>
      </c>
      <c r="M27" s="3">
        <v>0.82885434400000002</v>
      </c>
      <c r="N27" s="3">
        <v>1.4393803359999999</v>
      </c>
      <c r="O27" s="3">
        <v>1.202954758</v>
      </c>
      <c r="P27" s="3">
        <v>4.1796819779999996</v>
      </c>
      <c r="Q27" s="3">
        <v>0.51455128900000002</v>
      </c>
      <c r="R27" s="3">
        <v>1.168644419</v>
      </c>
      <c r="S27" s="3">
        <v>27.816789140000001</v>
      </c>
      <c r="T27" s="3">
        <v>25.36238831</v>
      </c>
      <c r="U27" s="3">
        <v>35.252898520000002</v>
      </c>
      <c r="V27" s="3">
        <v>39.384713169999998</v>
      </c>
      <c r="W27" s="3">
        <v>32.825325460000002</v>
      </c>
      <c r="X27" s="3">
        <v>6.5593877120000004</v>
      </c>
      <c r="Y27">
        <v>32.825325460000002</v>
      </c>
    </row>
    <row r="28" spans="1:25">
      <c r="A28" t="s">
        <v>36</v>
      </c>
      <c r="B28" t="s">
        <v>16</v>
      </c>
      <c r="C28" s="3">
        <v>0.70373036</v>
      </c>
      <c r="D28" s="3">
        <v>0.99383111000000002</v>
      </c>
      <c r="E28" s="3">
        <v>1.3746010120000001</v>
      </c>
      <c r="F28" s="3">
        <v>16.681416429999999</v>
      </c>
      <c r="G28" s="3">
        <v>5.5505475960000004</v>
      </c>
      <c r="H28" s="3">
        <v>0.13741867999999999</v>
      </c>
      <c r="I28" s="3">
        <v>0.401883987</v>
      </c>
      <c r="J28" s="3">
        <v>4.0320103850000004</v>
      </c>
      <c r="K28" s="3">
        <v>28.13182252</v>
      </c>
      <c r="L28" s="3">
        <v>5.0991573089999997</v>
      </c>
      <c r="M28" s="3">
        <v>0.82885434400000002</v>
      </c>
      <c r="N28" s="3">
        <v>1.4393803359999999</v>
      </c>
      <c r="O28" s="3">
        <v>1.202954758</v>
      </c>
      <c r="P28" s="3">
        <v>4.1796819779999996</v>
      </c>
      <c r="Q28" s="3">
        <v>0.51455128900000002</v>
      </c>
      <c r="R28" s="3">
        <v>1.168644419</v>
      </c>
      <c r="S28" s="3">
        <v>27.816789140000001</v>
      </c>
      <c r="T28" s="3">
        <v>25.36238831</v>
      </c>
      <c r="U28" s="3">
        <v>35.252898520000002</v>
      </c>
      <c r="V28" s="3">
        <v>39.384713169999998</v>
      </c>
      <c r="W28" s="3">
        <v>32.825325460000002</v>
      </c>
      <c r="X28" s="3">
        <v>6.5593877120000004</v>
      </c>
      <c r="Y28">
        <v>32.825325460000002</v>
      </c>
    </row>
    <row r="29" spans="1:25">
      <c r="A29" t="s">
        <v>37</v>
      </c>
      <c r="B29" t="s">
        <v>9</v>
      </c>
      <c r="C29" s="3">
        <v>0.38464789900000002</v>
      </c>
      <c r="D29" s="3">
        <v>0.54351632999999999</v>
      </c>
      <c r="E29" s="3">
        <v>1.5560714600000001</v>
      </c>
      <c r="F29" s="3">
        <v>14.064739980000001</v>
      </c>
      <c r="G29" s="3">
        <v>8.4568488990000006</v>
      </c>
      <c r="H29" s="3">
        <v>0.108681215</v>
      </c>
      <c r="I29" s="3">
        <v>0.39083954500000001</v>
      </c>
      <c r="J29" s="3">
        <v>2.5412685989999999</v>
      </c>
      <c r="K29" s="3">
        <v>15.280117150000001</v>
      </c>
      <c r="L29" s="3">
        <v>1.825488746</v>
      </c>
      <c r="M29" s="3">
        <v>0.54821913</v>
      </c>
      <c r="N29" s="3">
        <v>0.80575263500000005</v>
      </c>
      <c r="O29" s="3">
        <v>1.1739722340000001</v>
      </c>
      <c r="P29" s="3">
        <v>12.112597490000001</v>
      </c>
      <c r="Q29" s="3">
        <v>0.32892683</v>
      </c>
      <c r="R29" s="3">
        <v>1.684103924</v>
      </c>
      <c r="S29" s="3">
        <v>38.194207939999998</v>
      </c>
      <c r="T29" s="3">
        <v>20.004678120000001</v>
      </c>
      <c r="U29" s="3">
        <v>25.81190952</v>
      </c>
      <c r="V29" s="3">
        <v>54.183412359999998</v>
      </c>
      <c r="W29" s="3">
        <v>50.855024550000003</v>
      </c>
      <c r="X29" s="3">
        <v>3.3283878100000002</v>
      </c>
      <c r="Y29">
        <v>50.855024550000003</v>
      </c>
    </row>
    <row r="30" spans="1:25">
      <c r="A30" t="s">
        <v>38</v>
      </c>
      <c r="B30" t="s">
        <v>9</v>
      </c>
      <c r="C30" s="3">
        <v>0.38464789900000002</v>
      </c>
      <c r="D30" s="3">
        <v>0.54351632999999999</v>
      </c>
      <c r="E30" s="3">
        <v>1.5560714600000001</v>
      </c>
      <c r="F30" s="3">
        <v>14.064739980000001</v>
      </c>
      <c r="G30" s="3">
        <v>8.4568488990000006</v>
      </c>
      <c r="H30" s="3">
        <v>0.108681215</v>
      </c>
      <c r="I30" s="3">
        <v>0.39083954500000001</v>
      </c>
      <c r="J30" s="3">
        <v>2.5412685989999999</v>
      </c>
      <c r="K30" s="3">
        <v>15.280117150000001</v>
      </c>
      <c r="L30" s="3">
        <v>1.825488746</v>
      </c>
      <c r="M30" s="3">
        <v>0.54821913</v>
      </c>
      <c r="N30" s="3">
        <v>0.80575263500000005</v>
      </c>
      <c r="O30" s="3">
        <v>1.1739722340000001</v>
      </c>
      <c r="P30" s="3">
        <v>12.112597490000001</v>
      </c>
      <c r="Q30" s="3">
        <v>0.32892683</v>
      </c>
      <c r="R30" s="3">
        <v>1.684103924</v>
      </c>
      <c r="S30" s="3">
        <v>38.194207939999998</v>
      </c>
      <c r="T30" s="3">
        <v>20.004678120000001</v>
      </c>
      <c r="U30" s="3">
        <v>25.81190952</v>
      </c>
      <c r="V30" s="3">
        <v>54.183412359999998</v>
      </c>
      <c r="W30" s="3">
        <v>50.855024550000003</v>
      </c>
      <c r="X30" s="3">
        <v>3.3283878100000002</v>
      </c>
      <c r="Y30">
        <v>50.855024550000003</v>
      </c>
    </row>
    <row r="31" spans="1:25">
      <c r="A31" t="s">
        <v>39</v>
      </c>
      <c r="B31" t="s">
        <v>9</v>
      </c>
      <c r="C31" s="3">
        <v>0.38464789900000002</v>
      </c>
      <c r="D31" s="3">
        <v>0.54351632999999999</v>
      </c>
      <c r="E31" s="3">
        <v>1.5560714600000001</v>
      </c>
      <c r="F31" s="3">
        <v>14.064739980000001</v>
      </c>
      <c r="G31" s="3">
        <v>8.4568488990000006</v>
      </c>
      <c r="H31" s="3">
        <v>0.108681215</v>
      </c>
      <c r="I31" s="3">
        <v>0.39083954500000001</v>
      </c>
      <c r="J31" s="3">
        <v>2.5412685989999999</v>
      </c>
      <c r="K31" s="3">
        <v>15.280117150000001</v>
      </c>
      <c r="L31" s="3">
        <v>1.825488746</v>
      </c>
      <c r="M31" s="3">
        <v>0.54821913</v>
      </c>
      <c r="N31" s="3">
        <v>0.80575263500000005</v>
      </c>
      <c r="O31" s="3">
        <v>1.1739722340000001</v>
      </c>
      <c r="P31" s="3">
        <v>12.112597490000001</v>
      </c>
      <c r="Q31" s="3">
        <v>0.32892683</v>
      </c>
      <c r="R31" s="3">
        <v>1.684103924</v>
      </c>
      <c r="S31" s="3">
        <v>38.194207939999998</v>
      </c>
      <c r="T31" s="3">
        <v>20.004678120000001</v>
      </c>
      <c r="U31" s="3">
        <v>25.81190952</v>
      </c>
      <c r="V31" s="3">
        <v>54.183412359999998</v>
      </c>
      <c r="W31" s="3">
        <v>50.855024550000003</v>
      </c>
      <c r="X31" s="3">
        <v>3.3283878100000002</v>
      </c>
      <c r="Y31">
        <v>50.855024550000003</v>
      </c>
    </row>
    <row r="32" spans="1:25">
      <c r="A32" t="s">
        <v>40</v>
      </c>
      <c r="B32" t="s">
        <v>9</v>
      </c>
      <c r="C32" s="3">
        <v>0.30238141600000001</v>
      </c>
      <c r="D32" s="3">
        <v>0.43276737199999998</v>
      </c>
      <c r="E32" s="3">
        <v>1.262400806</v>
      </c>
      <c r="F32" s="3">
        <v>16.862807279999998</v>
      </c>
      <c r="G32" s="3">
        <v>5.8408362220000001</v>
      </c>
      <c r="H32" s="3">
        <v>0.12547761199999999</v>
      </c>
      <c r="I32" s="3">
        <v>0.43349033300000001</v>
      </c>
      <c r="J32" s="3">
        <v>3.5515098439999999</v>
      </c>
      <c r="K32" s="3">
        <v>17.968793040000001</v>
      </c>
      <c r="L32" s="3">
        <v>0.83238648299999995</v>
      </c>
      <c r="M32" s="3">
        <v>0.45789357000000003</v>
      </c>
      <c r="N32" s="3">
        <v>0.20445807399999999</v>
      </c>
      <c r="O32" s="3">
        <v>1.066107755</v>
      </c>
      <c r="P32" s="3">
        <v>10.30941541</v>
      </c>
      <c r="Q32" s="3">
        <v>0.88478468899999996</v>
      </c>
      <c r="R32" s="3">
        <v>1.8180126940000001</v>
      </c>
      <c r="S32" s="3">
        <v>37.714630100000001</v>
      </c>
      <c r="T32" s="3">
        <v>22.673649709999999</v>
      </c>
      <c r="U32" s="3">
        <v>26.06113229</v>
      </c>
      <c r="V32" s="3">
        <v>51.265217999999997</v>
      </c>
      <c r="W32" s="3">
        <v>48.481939079999997</v>
      </c>
      <c r="X32" s="3">
        <v>2.783278927</v>
      </c>
      <c r="Y32">
        <v>48.481939076666663</v>
      </c>
    </row>
    <row r="33" spans="1:25">
      <c r="A33" t="s">
        <v>41</v>
      </c>
      <c r="B33" t="s">
        <v>9</v>
      </c>
      <c r="C33" s="3">
        <v>0.30238141600000001</v>
      </c>
      <c r="D33" s="3">
        <v>0.43276737199999998</v>
      </c>
      <c r="E33" s="3">
        <v>1.262400806</v>
      </c>
      <c r="F33" s="3">
        <v>16.862807279999998</v>
      </c>
      <c r="G33" s="3">
        <v>5.8408362220000001</v>
      </c>
      <c r="H33" s="3">
        <v>0.12547761199999999</v>
      </c>
      <c r="I33" s="3">
        <v>0.43349033300000001</v>
      </c>
      <c r="J33" s="3">
        <v>3.5515098439999999</v>
      </c>
      <c r="K33" s="3">
        <v>17.968793040000001</v>
      </c>
      <c r="L33" s="3">
        <v>0.83238648299999995</v>
      </c>
      <c r="M33" s="3">
        <v>0.45789357000000003</v>
      </c>
      <c r="N33" s="3">
        <v>0.20445807399999999</v>
      </c>
      <c r="O33" s="3">
        <v>1.066107755</v>
      </c>
      <c r="P33" s="3">
        <v>10.30941541</v>
      </c>
      <c r="Q33" s="3">
        <v>0.88478468899999996</v>
      </c>
      <c r="R33" s="3">
        <v>1.8180126940000001</v>
      </c>
      <c r="S33" s="3">
        <v>37.714630100000001</v>
      </c>
      <c r="T33" s="3">
        <v>22.673649709999999</v>
      </c>
      <c r="U33" s="3">
        <v>26.06113229</v>
      </c>
      <c r="V33" s="3">
        <v>51.265217999999997</v>
      </c>
      <c r="W33" s="3">
        <v>48.481939079999997</v>
      </c>
      <c r="X33" s="3">
        <v>2.783278927</v>
      </c>
      <c r="Y33">
        <v>48.481939076666663</v>
      </c>
    </row>
    <row r="34" spans="1:25">
      <c r="A34" t="s">
        <v>42</v>
      </c>
      <c r="B34" t="s">
        <v>9</v>
      </c>
      <c r="C34" s="3">
        <v>0.30238141600000001</v>
      </c>
      <c r="D34" s="3">
        <v>0.43276737199999998</v>
      </c>
      <c r="E34" s="3">
        <v>1.262400806</v>
      </c>
      <c r="F34" s="3">
        <v>16.862807279999998</v>
      </c>
      <c r="G34" s="3">
        <v>5.8408362220000001</v>
      </c>
      <c r="H34" s="3">
        <v>0.12547761199999999</v>
      </c>
      <c r="I34" s="3">
        <v>0.43349033300000001</v>
      </c>
      <c r="J34" s="3">
        <v>3.5515098439999999</v>
      </c>
      <c r="K34" s="3">
        <v>17.968793040000001</v>
      </c>
      <c r="L34" s="3">
        <v>0.83238648299999995</v>
      </c>
      <c r="M34" s="3">
        <v>0.45789357000000003</v>
      </c>
      <c r="N34" s="3">
        <v>0.20445807399999999</v>
      </c>
      <c r="O34" s="3">
        <v>1.066107755</v>
      </c>
      <c r="P34" s="3">
        <v>10.30941541</v>
      </c>
      <c r="Q34" s="3">
        <v>0.88478468899999996</v>
      </c>
      <c r="R34" s="3">
        <v>1.8180126940000001</v>
      </c>
      <c r="S34" s="3">
        <v>37.714630100000001</v>
      </c>
      <c r="T34" s="3">
        <v>22.673649709999999</v>
      </c>
      <c r="U34" s="3">
        <v>26.06113229</v>
      </c>
      <c r="V34" s="3">
        <v>51.265217999999997</v>
      </c>
      <c r="W34" s="3">
        <v>48.481939079999997</v>
      </c>
      <c r="X34" s="3">
        <v>2.783278927</v>
      </c>
      <c r="Y34">
        <v>48.481939076666663</v>
      </c>
    </row>
    <row r="35" spans="1:25">
      <c r="A35" t="s">
        <v>43</v>
      </c>
      <c r="B35" t="s">
        <v>9</v>
      </c>
      <c r="C35" s="3">
        <v>0.38478011400000001</v>
      </c>
      <c r="D35" s="3">
        <v>0.55137730200000001</v>
      </c>
      <c r="E35" s="3">
        <v>0.75324620099999995</v>
      </c>
      <c r="F35" s="3">
        <v>12.59670481</v>
      </c>
      <c r="G35" s="3">
        <v>4.3308742440000003</v>
      </c>
      <c r="H35" s="3">
        <v>7.8009999999999996E-2</v>
      </c>
      <c r="I35" s="3">
        <v>0.39670516300000003</v>
      </c>
      <c r="J35" s="3">
        <v>2.9016385360000001</v>
      </c>
      <c r="K35" s="3">
        <v>22.203106720000001</v>
      </c>
      <c r="L35" s="3">
        <v>1.888192351</v>
      </c>
      <c r="M35" s="3">
        <v>0.53547467699999995</v>
      </c>
      <c r="N35" s="3">
        <v>0.80148355100000002</v>
      </c>
      <c r="O35" s="3">
        <v>1.2292632050000001</v>
      </c>
      <c r="P35" s="3">
        <v>6.6069919519999996</v>
      </c>
      <c r="Q35" s="3">
        <v>0.62037320500000004</v>
      </c>
      <c r="R35" s="3">
        <v>1.7614320299999999</v>
      </c>
      <c r="S35" s="3">
        <v>42.360345959999997</v>
      </c>
      <c r="T35" s="3">
        <v>18.067240510000001</v>
      </c>
      <c r="U35" s="3">
        <v>28.692118149999999</v>
      </c>
      <c r="V35" s="3">
        <v>53.240641340000003</v>
      </c>
      <c r="W35" s="3">
        <v>49.502812589999998</v>
      </c>
      <c r="X35" s="3">
        <v>3.7378287600000002</v>
      </c>
      <c r="Y35" s="3">
        <v>49.502812589999998</v>
      </c>
    </row>
    <row r="36" spans="1:25">
      <c r="A36" t="s">
        <v>44</v>
      </c>
      <c r="B36" t="s">
        <v>9</v>
      </c>
      <c r="C36" s="3">
        <v>0.38478011400000001</v>
      </c>
      <c r="D36" s="3">
        <v>0.55137730200000001</v>
      </c>
      <c r="E36" s="3">
        <v>0.75324620099999995</v>
      </c>
      <c r="F36" s="3">
        <v>12.59670481</v>
      </c>
      <c r="G36" s="3">
        <v>4.3308742440000003</v>
      </c>
      <c r="H36" s="3">
        <v>7.8009999999999996E-2</v>
      </c>
      <c r="I36" s="3">
        <v>0.39670516300000003</v>
      </c>
      <c r="J36" s="3">
        <v>2.9016385360000001</v>
      </c>
      <c r="K36" s="3">
        <v>22.203106720000001</v>
      </c>
      <c r="L36" s="3">
        <v>1.888192351</v>
      </c>
      <c r="M36" s="3">
        <v>0.53547467699999995</v>
      </c>
      <c r="N36" s="3">
        <v>0.80148355100000002</v>
      </c>
      <c r="O36" s="3">
        <v>1.2292632050000001</v>
      </c>
      <c r="P36" s="3">
        <v>6.6069919519999996</v>
      </c>
      <c r="Q36" s="3">
        <v>0.62037320500000004</v>
      </c>
      <c r="R36" s="3">
        <v>1.7614320299999999</v>
      </c>
      <c r="S36" s="3">
        <v>42.360345959999997</v>
      </c>
      <c r="T36" s="3">
        <v>18.067240510000001</v>
      </c>
      <c r="U36" s="3">
        <v>28.692118149999999</v>
      </c>
      <c r="V36" s="3">
        <v>53.240641340000003</v>
      </c>
      <c r="W36" s="3">
        <v>49.502812589999998</v>
      </c>
      <c r="X36" s="3">
        <v>3.7378287600000002</v>
      </c>
      <c r="Y36" s="3">
        <v>49.502812589999998</v>
      </c>
    </row>
    <row r="37" spans="1:25">
      <c r="A37" t="s">
        <v>45</v>
      </c>
      <c r="B37" t="s">
        <v>9</v>
      </c>
      <c r="C37" s="3">
        <v>0.38478011400000001</v>
      </c>
      <c r="D37" s="3">
        <v>0.55137730200000001</v>
      </c>
      <c r="E37" s="3">
        <v>0.75324620099999995</v>
      </c>
      <c r="F37" s="3">
        <v>12.59670481</v>
      </c>
      <c r="G37" s="3">
        <v>4.3308742440000003</v>
      </c>
      <c r="H37" s="3">
        <v>7.8009999999999996E-2</v>
      </c>
      <c r="I37" s="3">
        <v>0.39670516300000003</v>
      </c>
      <c r="J37" s="3">
        <v>2.9016385360000001</v>
      </c>
      <c r="K37" s="3">
        <v>22.203106720000001</v>
      </c>
      <c r="L37" s="3">
        <v>1.888192351</v>
      </c>
      <c r="M37" s="3">
        <v>0.53547467699999995</v>
      </c>
      <c r="N37" s="3">
        <v>0.80148355100000002</v>
      </c>
      <c r="O37" s="3">
        <v>1.2292632050000001</v>
      </c>
      <c r="P37" s="3">
        <v>6.6069919519999996</v>
      </c>
      <c r="Q37" s="3">
        <v>0.62037320500000004</v>
      </c>
      <c r="R37" s="3">
        <v>1.7614320299999999</v>
      </c>
      <c r="S37" s="3">
        <v>42.360345959999997</v>
      </c>
      <c r="T37" s="3">
        <v>18.067240510000001</v>
      </c>
      <c r="U37" s="3">
        <v>28.692118149999999</v>
      </c>
      <c r="V37" s="3">
        <v>53.240641340000003</v>
      </c>
      <c r="W37" s="3">
        <v>49.502812589999998</v>
      </c>
      <c r="X37" s="3">
        <v>3.7378287600000002</v>
      </c>
      <c r="Y37" s="3">
        <v>49.502812589999998</v>
      </c>
    </row>
    <row r="38" spans="1:25">
      <c r="A38" t="s">
        <v>46</v>
      </c>
      <c r="B38" t="s">
        <v>47</v>
      </c>
      <c r="C38" s="3">
        <v>0.32587353400000002</v>
      </c>
      <c r="D38" s="3">
        <v>0.46796727799999999</v>
      </c>
      <c r="E38" s="3">
        <v>1.9577133229999999</v>
      </c>
      <c r="F38" s="3">
        <v>10.744043</v>
      </c>
      <c r="G38" s="3">
        <v>9.6594948869999993</v>
      </c>
      <c r="H38" s="3">
        <v>0.130954607</v>
      </c>
      <c r="I38" s="3">
        <v>0.53463560399999999</v>
      </c>
      <c r="J38" s="3">
        <v>4.6228138999999997</v>
      </c>
      <c r="K38" s="3">
        <v>15.287463170000001</v>
      </c>
      <c r="L38" s="3">
        <v>1.4727875100000001</v>
      </c>
      <c r="M38" s="3">
        <v>0.46317931600000001</v>
      </c>
      <c r="N38" s="3">
        <v>0.69406485299999998</v>
      </c>
      <c r="O38" s="3">
        <v>1.5619231689999999</v>
      </c>
      <c r="P38" s="3">
        <v>21.717441579999999</v>
      </c>
      <c r="Q38" s="3">
        <v>0.34511496899999999</v>
      </c>
      <c r="R38" s="3">
        <v>1.251821928</v>
      </c>
      <c r="S38" s="3">
        <v>28.762707389999999</v>
      </c>
      <c r="T38" s="3">
        <v>18.943430490000001</v>
      </c>
      <c r="U38" s="3">
        <v>26.73341559</v>
      </c>
      <c r="V38" s="3">
        <v>54.323153929999997</v>
      </c>
      <c r="W38" s="3">
        <v>50.943328280000003</v>
      </c>
      <c r="X38" s="3">
        <v>3.3798256480000002</v>
      </c>
      <c r="Y38">
        <v>50.943328280000003</v>
      </c>
    </row>
    <row r="39" spans="1:25">
      <c r="A39" t="s">
        <v>48</v>
      </c>
      <c r="B39" t="s">
        <v>47</v>
      </c>
      <c r="C39" s="3">
        <v>0.32587353400000002</v>
      </c>
      <c r="D39" s="3">
        <v>0.46796727799999999</v>
      </c>
      <c r="E39" s="3">
        <v>1.9577133229999999</v>
      </c>
      <c r="F39" s="3">
        <v>10.744043</v>
      </c>
      <c r="G39" s="3">
        <v>9.6594948869999993</v>
      </c>
      <c r="H39" s="3">
        <v>0.130954607</v>
      </c>
      <c r="I39" s="3">
        <v>0.53463560399999999</v>
      </c>
      <c r="J39" s="3">
        <v>4.6228138999999997</v>
      </c>
      <c r="K39" s="3">
        <v>15.287463170000001</v>
      </c>
      <c r="L39" s="3">
        <v>1.4727875100000001</v>
      </c>
      <c r="M39" s="3">
        <v>0.46317931600000001</v>
      </c>
      <c r="N39" s="3">
        <v>0.69406485299999998</v>
      </c>
      <c r="O39" s="3">
        <v>1.5619231689999999</v>
      </c>
      <c r="P39" s="3">
        <v>21.717441579999999</v>
      </c>
      <c r="Q39" s="3">
        <v>0.34511496899999999</v>
      </c>
      <c r="R39" s="3">
        <v>1.251821928</v>
      </c>
      <c r="S39" s="3">
        <v>28.762707389999999</v>
      </c>
      <c r="T39" s="3">
        <v>18.943430490000001</v>
      </c>
      <c r="U39" s="3">
        <v>26.73341559</v>
      </c>
      <c r="V39" s="3">
        <v>54.323153929999997</v>
      </c>
      <c r="W39" s="3">
        <v>50.943328280000003</v>
      </c>
      <c r="X39" s="3">
        <v>3.3798256480000002</v>
      </c>
      <c r="Y39">
        <v>50.943328280000003</v>
      </c>
    </row>
    <row r="40" spans="1:25">
      <c r="A40" t="s">
        <v>49</v>
      </c>
      <c r="B40" t="s">
        <v>47</v>
      </c>
      <c r="C40" s="3">
        <v>0.32587353400000002</v>
      </c>
      <c r="D40" s="3">
        <v>0.46796727799999999</v>
      </c>
      <c r="E40" s="3">
        <v>1.9577133229999999</v>
      </c>
      <c r="F40" s="3">
        <v>10.744043</v>
      </c>
      <c r="G40" s="3">
        <v>9.6594948869999993</v>
      </c>
      <c r="H40" s="3">
        <v>0.130954607</v>
      </c>
      <c r="I40" s="3">
        <v>0.53463560399999999</v>
      </c>
      <c r="J40" s="3">
        <v>4.6228138999999997</v>
      </c>
      <c r="K40" s="3">
        <v>15.287463170000001</v>
      </c>
      <c r="L40" s="3">
        <v>1.4727875100000001</v>
      </c>
      <c r="M40" s="3">
        <v>0.46317931600000001</v>
      </c>
      <c r="N40" s="3">
        <v>0.69406485299999998</v>
      </c>
      <c r="O40" s="3">
        <v>1.5619231689999999</v>
      </c>
      <c r="P40" s="3">
        <v>21.717441579999999</v>
      </c>
      <c r="Q40" s="3">
        <v>0.34511496899999999</v>
      </c>
      <c r="R40" s="3">
        <v>1.251821928</v>
      </c>
      <c r="S40" s="3">
        <v>28.762707389999999</v>
      </c>
      <c r="T40" s="3">
        <v>18.943430490000001</v>
      </c>
      <c r="U40" s="3">
        <v>26.73341559</v>
      </c>
      <c r="V40" s="3">
        <v>54.323153929999997</v>
      </c>
      <c r="W40" s="3">
        <v>50.943328280000003</v>
      </c>
      <c r="X40" s="3">
        <v>3.3798256480000002</v>
      </c>
      <c r="Y40">
        <v>50.943328280000003</v>
      </c>
    </row>
    <row r="41" spans="1:25">
      <c r="A41" t="s">
        <v>50</v>
      </c>
      <c r="B41" t="s">
        <v>47</v>
      </c>
      <c r="C41" s="3">
        <v>0.47619375899999999</v>
      </c>
      <c r="D41" s="3">
        <v>0.67739561800000003</v>
      </c>
      <c r="E41" s="3">
        <v>1.657519237</v>
      </c>
      <c r="F41" s="3">
        <v>16.888264580000001</v>
      </c>
      <c r="G41" s="3">
        <v>8.4985069650000007</v>
      </c>
      <c r="H41" s="3">
        <v>0.115237995</v>
      </c>
      <c r="I41" s="3">
        <v>0.39439196799999998</v>
      </c>
      <c r="J41" s="3">
        <v>3.1770070659999998</v>
      </c>
      <c r="K41" s="3">
        <v>18.8218411</v>
      </c>
      <c r="L41" s="3">
        <v>2.5237469049999999</v>
      </c>
      <c r="M41" s="3">
        <v>0.55917845099999997</v>
      </c>
      <c r="N41" s="3">
        <v>1.007992341</v>
      </c>
      <c r="O41" s="3">
        <v>1.654921716</v>
      </c>
      <c r="P41" s="3">
        <v>13.54246828</v>
      </c>
      <c r="Q41" s="3">
        <v>0.55547060299999995</v>
      </c>
      <c r="R41" s="3">
        <v>1.153309216</v>
      </c>
      <c r="S41" s="3">
        <v>28.296554220000001</v>
      </c>
      <c r="T41" s="3">
        <v>23.9996106</v>
      </c>
      <c r="U41" s="3">
        <v>28.868049249999999</v>
      </c>
      <c r="V41" s="3">
        <v>47.132340169999999</v>
      </c>
      <c r="W41" s="3">
        <v>42.398200940000002</v>
      </c>
      <c r="X41" s="3">
        <v>4.7341392239999998</v>
      </c>
      <c r="Y41">
        <v>42.398200940000002</v>
      </c>
    </row>
    <row r="42" spans="1:25">
      <c r="A42" t="s">
        <v>51</v>
      </c>
      <c r="B42" t="s">
        <v>47</v>
      </c>
      <c r="C42" s="3">
        <v>0.47619375899999999</v>
      </c>
      <c r="D42" s="3">
        <v>0.67739561800000003</v>
      </c>
      <c r="E42" s="3">
        <v>1.657519237</v>
      </c>
      <c r="F42" s="3">
        <v>16.888264580000001</v>
      </c>
      <c r="G42" s="3">
        <v>8.4985069650000007</v>
      </c>
      <c r="H42" s="3">
        <v>0.115237995</v>
      </c>
      <c r="I42" s="3">
        <v>0.39439196799999998</v>
      </c>
      <c r="J42" s="3">
        <v>3.1770070659999998</v>
      </c>
      <c r="K42" s="3">
        <v>18.8218411</v>
      </c>
      <c r="L42" s="3">
        <v>2.5237469049999999</v>
      </c>
      <c r="M42" s="3">
        <v>0.55917845099999997</v>
      </c>
      <c r="N42" s="3">
        <v>1.007992341</v>
      </c>
      <c r="O42" s="3">
        <v>1.654921716</v>
      </c>
      <c r="P42" s="3">
        <v>13.54246828</v>
      </c>
      <c r="Q42" s="3">
        <v>0.55547060299999995</v>
      </c>
      <c r="R42" s="3">
        <v>1.153309216</v>
      </c>
      <c r="S42" s="3">
        <v>28.296554220000001</v>
      </c>
      <c r="T42" s="3">
        <v>23.9996106</v>
      </c>
      <c r="U42" s="3">
        <v>28.868049249999999</v>
      </c>
      <c r="V42" s="3">
        <v>47.132340169999999</v>
      </c>
      <c r="W42" s="3">
        <v>42.398200940000002</v>
      </c>
      <c r="X42" s="3">
        <v>4.7341392239999998</v>
      </c>
      <c r="Y42">
        <v>42.398200940000002</v>
      </c>
    </row>
    <row r="43" spans="1:25">
      <c r="A43" t="s">
        <v>52</v>
      </c>
      <c r="B43" t="s">
        <v>47</v>
      </c>
      <c r="C43" s="3">
        <v>0.47619375899999999</v>
      </c>
      <c r="D43" s="3">
        <v>0.67739561800000003</v>
      </c>
      <c r="E43" s="3">
        <v>1.657519237</v>
      </c>
      <c r="F43" s="3">
        <v>16.888264580000001</v>
      </c>
      <c r="G43" s="3">
        <v>8.4985069650000007</v>
      </c>
      <c r="H43" s="3">
        <v>0.115237995</v>
      </c>
      <c r="I43" s="3">
        <v>0.39439196799999998</v>
      </c>
      <c r="J43" s="3">
        <v>3.1770070659999998</v>
      </c>
      <c r="K43" s="3">
        <v>18.8218411</v>
      </c>
      <c r="L43" s="3">
        <v>2.5237469049999999</v>
      </c>
      <c r="M43" s="3">
        <v>0.55917845099999997</v>
      </c>
      <c r="N43" s="3">
        <v>1.007992341</v>
      </c>
      <c r="O43" s="3">
        <v>1.654921716</v>
      </c>
      <c r="P43" s="3">
        <v>13.54246828</v>
      </c>
      <c r="Q43" s="3">
        <v>0.55547060299999995</v>
      </c>
      <c r="R43" s="3">
        <v>1.153309216</v>
      </c>
      <c r="S43" s="3">
        <v>28.296554220000001</v>
      </c>
      <c r="T43" s="3">
        <v>23.9996106</v>
      </c>
      <c r="U43" s="3">
        <v>28.868049249999999</v>
      </c>
      <c r="V43" s="3">
        <v>47.132340169999999</v>
      </c>
      <c r="W43" s="3">
        <v>42.398200940000002</v>
      </c>
      <c r="X43" s="3">
        <v>4.7341392239999998</v>
      </c>
      <c r="Y43">
        <v>42.398200940000002</v>
      </c>
    </row>
    <row r="44" spans="1:25">
      <c r="A44" t="s">
        <v>53</v>
      </c>
      <c r="B44" t="s">
        <v>47</v>
      </c>
      <c r="C44" s="3">
        <v>0.30273303699999998</v>
      </c>
      <c r="D44" s="3">
        <v>0.42277766999999999</v>
      </c>
      <c r="E44" s="3">
        <v>1.8148195819999999</v>
      </c>
      <c r="F44" s="3">
        <v>13.884466939999999</v>
      </c>
      <c r="G44" s="3">
        <v>8.7050707450000004</v>
      </c>
      <c r="H44" s="3">
        <v>0.10176851100000001</v>
      </c>
      <c r="I44" s="3">
        <v>0.39812212800000002</v>
      </c>
      <c r="J44" s="3">
        <v>3.1883123649999998</v>
      </c>
      <c r="K44" s="3">
        <v>13.77303822</v>
      </c>
      <c r="L44" s="3">
        <v>1.882717446</v>
      </c>
      <c r="M44" s="3">
        <v>0.50001664099999998</v>
      </c>
      <c r="N44" s="3">
        <v>0.63330014199999995</v>
      </c>
      <c r="O44" s="3">
        <v>1.8982195180000001</v>
      </c>
      <c r="P44" s="3">
        <v>22.3573108</v>
      </c>
      <c r="Q44" s="3">
        <v>0.40869058200000002</v>
      </c>
      <c r="R44" s="3">
        <v>1.27171309</v>
      </c>
      <c r="S44" s="3">
        <v>28.456922599999999</v>
      </c>
      <c r="T44" s="3">
        <v>20.34817825</v>
      </c>
      <c r="U44" s="3">
        <v>24.14794418</v>
      </c>
      <c r="V44" s="3">
        <v>55.503877580000001</v>
      </c>
      <c r="W44" s="3">
        <v>51.314250039999997</v>
      </c>
      <c r="X44" s="3">
        <v>4.1896275449999996</v>
      </c>
      <c r="Y44">
        <v>51.314250036666657</v>
      </c>
    </row>
    <row r="45" spans="1:25">
      <c r="A45" t="s">
        <v>54</v>
      </c>
      <c r="B45" t="s">
        <v>47</v>
      </c>
      <c r="C45" s="3">
        <v>0.30273303699999998</v>
      </c>
      <c r="D45" s="3">
        <v>0.42277766999999999</v>
      </c>
      <c r="E45" s="3">
        <v>1.8148195819999999</v>
      </c>
      <c r="F45" s="3">
        <v>13.884466939999999</v>
      </c>
      <c r="G45" s="3">
        <v>8.7050707450000004</v>
      </c>
      <c r="H45" s="3">
        <v>0.10176851100000001</v>
      </c>
      <c r="I45" s="3">
        <v>0.39812212800000002</v>
      </c>
      <c r="J45" s="3">
        <v>3.1883123649999998</v>
      </c>
      <c r="K45" s="3">
        <v>13.77303822</v>
      </c>
      <c r="L45" s="3">
        <v>1.882717446</v>
      </c>
      <c r="M45" s="3">
        <v>0.50001664099999998</v>
      </c>
      <c r="N45" s="3">
        <v>0.63330014199999995</v>
      </c>
      <c r="O45" s="3">
        <v>1.8982195180000001</v>
      </c>
      <c r="P45" s="3">
        <v>22.3573108</v>
      </c>
      <c r="Q45" s="3">
        <v>0.40869058200000002</v>
      </c>
      <c r="R45" s="3">
        <v>1.27171309</v>
      </c>
      <c r="S45" s="3">
        <v>28.456922599999999</v>
      </c>
      <c r="T45" s="3">
        <v>20.34817825</v>
      </c>
      <c r="U45" s="3">
        <v>24.14794418</v>
      </c>
      <c r="V45" s="3">
        <v>55.503877580000001</v>
      </c>
      <c r="W45" s="3">
        <v>51.314250039999997</v>
      </c>
      <c r="X45" s="3">
        <v>4.1896275449999996</v>
      </c>
      <c r="Y45">
        <v>51.314250036666657</v>
      </c>
    </row>
    <row r="46" spans="1:25">
      <c r="A46" t="s">
        <v>55</v>
      </c>
      <c r="B46" t="s">
        <v>47</v>
      </c>
      <c r="C46" s="3">
        <v>0.30273303699999998</v>
      </c>
      <c r="D46" s="3">
        <v>0.42277766999999999</v>
      </c>
      <c r="E46" s="3">
        <v>1.8148195819999999</v>
      </c>
      <c r="F46" s="3">
        <v>13.884466939999999</v>
      </c>
      <c r="G46" s="3">
        <v>8.7050707450000004</v>
      </c>
      <c r="H46" s="3">
        <v>0.10176851100000001</v>
      </c>
      <c r="I46" s="3">
        <v>0.39812212800000002</v>
      </c>
      <c r="J46" s="3">
        <v>3.1883123649999998</v>
      </c>
      <c r="K46" s="3">
        <v>13.77303822</v>
      </c>
      <c r="L46" s="3">
        <v>1.882717446</v>
      </c>
      <c r="M46" s="3">
        <v>0.50001664099999998</v>
      </c>
      <c r="N46" s="3">
        <v>0.63330014199999995</v>
      </c>
      <c r="O46" s="3">
        <v>1.8982195180000001</v>
      </c>
      <c r="P46" s="3">
        <v>22.3573108</v>
      </c>
      <c r="Q46" s="3">
        <v>0.40869058200000002</v>
      </c>
      <c r="R46" s="3">
        <v>1.27171309</v>
      </c>
      <c r="S46" s="3">
        <v>28.456922599999999</v>
      </c>
      <c r="T46" s="3">
        <v>20.34817825</v>
      </c>
      <c r="U46" s="3">
        <v>24.14794418</v>
      </c>
      <c r="V46" s="3">
        <v>55.503877580000001</v>
      </c>
      <c r="W46" s="3">
        <v>51.314250039999997</v>
      </c>
      <c r="X46" s="3">
        <v>4.1896275449999996</v>
      </c>
      <c r="Y46">
        <v>51.314250036666657</v>
      </c>
    </row>
    <row r="47" spans="1:25">
      <c r="A47" t="s">
        <v>56</v>
      </c>
      <c r="B47" t="s">
        <v>47</v>
      </c>
      <c r="C47" s="3">
        <v>0.36068145200000001</v>
      </c>
      <c r="D47" s="3">
        <v>0.49590265500000003</v>
      </c>
      <c r="E47" s="3">
        <v>1.4369621669999999</v>
      </c>
      <c r="F47" s="3">
        <v>9.0695671929999992</v>
      </c>
      <c r="G47" s="3">
        <v>7.5955672610000002</v>
      </c>
      <c r="H47" s="3">
        <v>0.164351687</v>
      </c>
      <c r="I47" s="3">
        <v>0.362045493</v>
      </c>
      <c r="J47" s="3">
        <v>3.5324474019999998</v>
      </c>
      <c r="K47" s="3">
        <v>19.577469579999999</v>
      </c>
      <c r="L47" s="3">
        <v>1.7057696870000001</v>
      </c>
      <c r="M47" s="3">
        <v>0.47977625000000002</v>
      </c>
      <c r="N47" s="3">
        <v>0.74620368199999998</v>
      </c>
      <c r="O47" s="3">
        <v>1.5938555720000001</v>
      </c>
      <c r="P47" s="3">
        <v>14.31589065</v>
      </c>
      <c r="Q47" s="3">
        <v>0.48706969300000003</v>
      </c>
      <c r="R47" s="3">
        <v>1.5671861140000001</v>
      </c>
      <c r="S47" s="3">
        <v>36.509253479999998</v>
      </c>
      <c r="T47" s="3">
        <v>15.80611624</v>
      </c>
      <c r="U47" s="3">
        <v>29.10226844</v>
      </c>
      <c r="V47" s="3">
        <v>55.091615320000002</v>
      </c>
      <c r="W47" s="3">
        <v>51.304920369999998</v>
      </c>
      <c r="X47" s="3">
        <v>3.7866949509999999</v>
      </c>
      <c r="Y47">
        <v>51.304920369999998</v>
      </c>
    </row>
    <row r="48" spans="1:25">
      <c r="A48" t="s">
        <v>57</v>
      </c>
      <c r="B48" t="s">
        <v>47</v>
      </c>
      <c r="C48" s="3">
        <v>0.36068145200000001</v>
      </c>
      <c r="D48" s="3">
        <v>0.49590265500000003</v>
      </c>
      <c r="E48" s="3">
        <v>1.4369621669999999</v>
      </c>
      <c r="F48" s="3">
        <v>9.0695671929999992</v>
      </c>
      <c r="G48" s="3">
        <v>7.5955672610000002</v>
      </c>
      <c r="H48" s="3">
        <v>0.164351687</v>
      </c>
      <c r="I48" s="3">
        <v>0.362045493</v>
      </c>
      <c r="J48" s="3">
        <v>3.5324474019999998</v>
      </c>
      <c r="K48" s="3">
        <v>19.577469579999999</v>
      </c>
      <c r="L48" s="3">
        <v>1.7057696870000001</v>
      </c>
      <c r="M48" s="3">
        <v>0.47977625000000002</v>
      </c>
      <c r="N48" s="3">
        <v>0.74620368199999998</v>
      </c>
      <c r="O48" s="3">
        <v>1.5938555720000001</v>
      </c>
      <c r="P48" s="3">
        <v>14.31589065</v>
      </c>
      <c r="Q48" s="3">
        <v>0.48706969300000003</v>
      </c>
      <c r="R48" s="3">
        <v>1.5671861140000001</v>
      </c>
      <c r="S48" s="3">
        <v>36.509253479999998</v>
      </c>
      <c r="T48" s="3">
        <v>15.80611624</v>
      </c>
      <c r="U48" s="3">
        <v>29.10226844</v>
      </c>
      <c r="V48" s="3">
        <v>55.091615320000002</v>
      </c>
      <c r="W48" s="3">
        <v>51.304920369999998</v>
      </c>
      <c r="X48" s="3">
        <v>3.7866949509999999</v>
      </c>
      <c r="Y48">
        <v>51.304920369999998</v>
      </c>
    </row>
    <row r="49" spans="1:25">
      <c r="A49" t="s">
        <v>58</v>
      </c>
      <c r="B49" t="s">
        <v>47</v>
      </c>
      <c r="C49" s="3">
        <v>0.36068145200000001</v>
      </c>
      <c r="D49" s="3">
        <v>0.49590265500000003</v>
      </c>
      <c r="E49" s="3">
        <v>1.4369621669999999</v>
      </c>
      <c r="F49" s="3">
        <v>9.0695671929999992</v>
      </c>
      <c r="G49" s="3">
        <v>7.5955672610000002</v>
      </c>
      <c r="H49" s="3">
        <v>0.164351687</v>
      </c>
      <c r="I49" s="3">
        <v>0.362045493</v>
      </c>
      <c r="J49" s="3">
        <v>3.5324474019999998</v>
      </c>
      <c r="K49" s="3">
        <v>19.577469579999999</v>
      </c>
      <c r="L49" s="3">
        <v>1.7057696870000001</v>
      </c>
      <c r="M49" s="3">
        <v>0.47977625000000002</v>
      </c>
      <c r="N49" s="3">
        <v>0.74620368199999998</v>
      </c>
      <c r="O49" s="3">
        <v>1.5938555720000001</v>
      </c>
      <c r="P49" s="3">
        <v>14.31589065</v>
      </c>
      <c r="Q49" s="3">
        <v>0.48706969300000003</v>
      </c>
      <c r="R49" s="3">
        <v>1.5671861140000001</v>
      </c>
      <c r="S49" s="3">
        <v>36.509253479999998</v>
      </c>
      <c r="T49" s="3">
        <v>15.80611624</v>
      </c>
      <c r="U49" s="3">
        <v>29.10226844</v>
      </c>
      <c r="V49" s="3">
        <v>55.091615320000002</v>
      </c>
      <c r="W49" s="3">
        <v>51.304920369999998</v>
      </c>
      <c r="X49" s="3">
        <v>3.7866949509999999</v>
      </c>
      <c r="Y49">
        <v>51.304920369999998</v>
      </c>
    </row>
    <row r="50" spans="1:25">
      <c r="A50" t="s">
        <v>59</v>
      </c>
      <c r="B50" t="s">
        <v>9</v>
      </c>
      <c r="C50" s="3">
        <v>8.9864774999999994E-2</v>
      </c>
      <c r="D50" s="3">
        <v>0.124507035</v>
      </c>
      <c r="E50" s="3">
        <v>0.94582359699999996</v>
      </c>
      <c r="F50" s="3">
        <v>16.86631895</v>
      </c>
      <c r="G50" s="3">
        <v>6.9159183540000004</v>
      </c>
      <c r="H50" s="3">
        <v>9.6253539999999999E-2</v>
      </c>
      <c r="I50" s="3">
        <v>0.37744145099999998</v>
      </c>
      <c r="J50" s="3">
        <v>2.3096611490000001</v>
      </c>
      <c r="K50" s="3">
        <v>15.43595651</v>
      </c>
      <c r="L50" s="3">
        <v>2.008494797</v>
      </c>
      <c r="M50" s="3">
        <v>0.34322175399999999</v>
      </c>
      <c r="N50" s="3">
        <v>0.20825944399999999</v>
      </c>
      <c r="O50" s="3">
        <v>1.2389474460000001</v>
      </c>
      <c r="P50" s="3">
        <v>10.83413567</v>
      </c>
      <c r="Q50" s="3">
        <v>0.41506554499999998</v>
      </c>
      <c r="R50" s="3">
        <v>1.95851183</v>
      </c>
      <c r="S50" s="3">
        <v>39.831618169999999</v>
      </c>
      <c r="T50" s="3">
        <v>20.640688489999999</v>
      </c>
      <c r="U50" s="3">
        <v>24.687828140000001</v>
      </c>
      <c r="V50" s="3">
        <v>54.671483379999998</v>
      </c>
      <c r="W50" s="3">
        <v>51.008975589999999</v>
      </c>
      <c r="X50" s="3">
        <v>3.6625077880000001</v>
      </c>
      <c r="Y50">
        <v>51.008975589999999</v>
      </c>
    </row>
    <row r="51" spans="1:25">
      <c r="A51" t="s">
        <v>60</v>
      </c>
      <c r="B51" t="s">
        <v>9</v>
      </c>
      <c r="C51" s="3">
        <v>8.9864774999999994E-2</v>
      </c>
      <c r="D51" s="3">
        <v>0.124507035</v>
      </c>
      <c r="E51" s="3">
        <v>0.94582359699999996</v>
      </c>
      <c r="F51" s="3">
        <v>16.86631895</v>
      </c>
      <c r="G51" s="3">
        <v>6.9159183540000004</v>
      </c>
      <c r="H51" s="3">
        <v>9.6253539999999999E-2</v>
      </c>
      <c r="I51" s="3">
        <v>0.37744145099999998</v>
      </c>
      <c r="J51" s="3">
        <v>2.3096611490000001</v>
      </c>
      <c r="K51" s="3">
        <v>15.43595651</v>
      </c>
      <c r="L51" s="3">
        <v>2.008494797</v>
      </c>
      <c r="M51" s="3">
        <v>0.34322175399999999</v>
      </c>
      <c r="N51" s="3">
        <v>0.20825944399999999</v>
      </c>
      <c r="O51" s="3">
        <v>1.2389474460000001</v>
      </c>
      <c r="P51" s="3">
        <v>10.83413567</v>
      </c>
      <c r="Q51" s="3">
        <v>0.41506554499999998</v>
      </c>
      <c r="R51" s="3">
        <v>1.95851183</v>
      </c>
      <c r="S51" s="3">
        <v>39.831618169999999</v>
      </c>
      <c r="T51" s="3">
        <v>20.640688489999999</v>
      </c>
      <c r="U51" s="3">
        <v>24.687828140000001</v>
      </c>
      <c r="V51" s="3">
        <v>54.671483379999998</v>
      </c>
      <c r="W51" s="3">
        <v>51.008975589999999</v>
      </c>
      <c r="X51" s="3">
        <v>3.6625077880000001</v>
      </c>
      <c r="Y51">
        <v>51.008975589999999</v>
      </c>
    </row>
    <row r="52" spans="1:25" ht="19.5" customHeight="1">
      <c r="A52" t="s">
        <v>61</v>
      </c>
      <c r="B52" t="s">
        <v>9</v>
      </c>
      <c r="C52" s="3">
        <v>8.9864774999999994E-2</v>
      </c>
      <c r="D52" s="3">
        <v>0.124507035</v>
      </c>
      <c r="E52" s="3">
        <v>0.94582359699999996</v>
      </c>
      <c r="F52" s="3">
        <v>16.86631895</v>
      </c>
      <c r="G52" s="3">
        <v>6.9159183540000004</v>
      </c>
      <c r="H52" s="3">
        <v>9.6253539999999999E-2</v>
      </c>
      <c r="I52" s="3">
        <v>0.37744145099999998</v>
      </c>
      <c r="J52" s="3">
        <v>2.3096611490000001</v>
      </c>
      <c r="K52" s="3">
        <v>15.43595651</v>
      </c>
      <c r="L52" s="3">
        <v>2.008494797</v>
      </c>
      <c r="M52" s="3">
        <v>0.34322175399999999</v>
      </c>
      <c r="N52" s="3">
        <v>0.20825944399999999</v>
      </c>
      <c r="O52" s="3">
        <v>1.2389474460000001</v>
      </c>
      <c r="P52" s="3">
        <v>10.83413567</v>
      </c>
      <c r="Q52" s="3">
        <v>0.41506554499999998</v>
      </c>
      <c r="R52" s="3">
        <v>1.95851183</v>
      </c>
      <c r="S52" s="3">
        <v>39.831618169999999</v>
      </c>
      <c r="T52" s="3">
        <v>20.640688489999999</v>
      </c>
      <c r="U52" s="3">
        <v>24.687828140000001</v>
      </c>
      <c r="V52" s="3">
        <v>54.671483379999998</v>
      </c>
      <c r="W52" s="3">
        <v>51.008975589999999</v>
      </c>
      <c r="X52" s="3">
        <v>3.6625077880000001</v>
      </c>
      <c r="Y52">
        <v>51.008975589999999</v>
      </c>
    </row>
    <row r="53" spans="1:25">
      <c r="A53" t="s">
        <v>62</v>
      </c>
      <c r="B53" t="s">
        <v>63</v>
      </c>
      <c r="C53" s="3">
        <v>1.1491922109999999</v>
      </c>
      <c r="D53" s="3">
        <v>0.44780972499999999</v>
      </c>
      <c r="E53" s="3">
        <v>0.520802973</v>
      </c>
      <c r="F53" s="3">
        <v>9.5312272589999996</v>
      </c>
      <c r="G53" s="3">
        <v>4.7765219569999999</v>
      </c>
      <c r="H53" s="3">
        <v>0.44697862300000002</v>
      </c>
      <c r="I53" s="3">
        <v>4.1091435760000001</v>
      </c>
      <c r="J53" s="3">
        <v>12.14376904</v>
      </c>
      <c r="K53" s="3">
        <v>5.5007992090000002</v>
      </c>
      <c r="L53" s="3">
        <v>0.70168245399999996</v>
      </c>
      <c r="M53" s="3">
        <v>1.867532763</v>
      </c>
      <c r="N53" s="3">
        <v>0.38789050200000003</v>
      </c>
      <c r="O53" s="3">
        <v>1.4960353239999999</v>
      </c>
      <c r="P53" s="3">
        <v>4.8082109830000004</v>
      </c>
      <c r="Q53" s="3">
        <v>1.7310824300000001</v>
      </c>
      <c r="R53" s="3">
        <v>3.1240205329999999</v>
      </c>
      <c r="S53" s="3">
        <v>47.257300430000001</v>
      </c>
      <c r="T53" s="3">
        <v>18.578000029999998</v>
      </c>
      <c r="U53" s="3">
        <v>22.359654020000001</v>
      </c>
      <c r="V53" s="3">
        <v>59.062345950000001</v>
      </c>
      <c r="W53" s="3">
        <v>52.06551142</v>
      </c>
      <c r="X53" s="3">
        <v>6.9968345330000004</v>
      </c>
      <c r="Y53">
        <v>52.065511416666673</v>
      </c>
    </row>
    <row r="54" spans="1:25">
      <c r="A54" t="s">
        <v>64</v>
      </c>
      <c r="B54" t="s">
        <v>63</v>
      </c>
      <c r="C54" s="3">
        <v>1.1491922109999999</v>
      </c>
      <c r="D54" s="3">
        <v>0.44780972499999999</v>
      </c>
      <c r="E54" s="3">
        <v>0.520802973</v>
      </c>
      <c r="F54" s="3">
        <v>9.5312272589999996</v>
      </c>
      <c r="G54" s="3">
        <v>4.7765219569999999</v>
      </c>
      <c r="H54" s="3">
        <v>0.44697862300000002</v>
      </c>
      <c r="I54" s="3">
        <v>4.1091435760000001</v>
      </c>
      <c r="J54" s="3">
        <v>12.14376904</v>
      </c>
      <c r="K54" s="3">
        <v>5.5007992090000002</v>
      </c>
      <c r="L54" s="3">
        <v>0.70168245399999996</v>
      </c>
      <c r="M54" s="3">
        <v>1.867532763</v>
      </c>
      <c r="N54" s="3">
        <v>0.38789050200000003</v>
      </c>
      <c r="O54" s="3">
        <v>1.4960353239999999</v>
      </c>
      <c r="P54" s="3">
        <v>4.8082109830000004</v>
      </c>
      <c r="Q54" s="3">
        <v>1.7310824300000001</v>
      </c>
      <c r="R54" s="3">
        <v>3.1240205329999999</v>
      </c>
      <c r="S54" s="3">
        <v>47.257300430000001</v>
      </c>
      <c r="T54" s="3">
        <v>18.578000029999998</v>
      </c>
      <c r="U54" s="3">
        <v>22.359654020000001</v>
      </c>
      <c r="V54" s="3">
        <v>59.062345950000001</v>
      </c>
      <c r="W54" s="3">
        <v>52.06551142</v>
      </c>
      <c r="X54" s="3">
        <v>6.9968345330000004</v>
      </c>
      <c r="Y54">
        <v>52.065511416666673</v>
      </c>
    </row>
    <row r="55" spans="1:25">
      <c r="A55" t="s">
        <v>65</v>
      </c>
      <c r="B55" t="s">
        <v>63</v>
      </c>
      <c r="C55" s="3">
        <v>1.1491922109999999</v>
      </c>
      <c r="D55" s="3">
        <v>0.44780972499999999</v>
      </c>
      <c r="E55" s="3">
        <v>0.520802973</v>
      </c>
      <c r="F55" s="3">
        <v>9.5312272589999996</v>
      </c>
      <c r="G55" s="3">
        <v>4.7765219569999999</v>
      </c>
      <c r="H55" s="3">
        <v>0.44697862300000002</v>
      </c>
      <c r="I55" s="3">
        <v>4.1091435760000001</v>
      </c>
      <c r="J55" s="3">
        <v>12.14376904</v>
      </c>
      <c r="K55" s="3">
        <v>5.5007992090000002</v>
      </c>
      <c r="L55" s="3">
        <v>0.70168245399999996</v>
      </c>
      <c r="M55" s="3">
        <v>1.867532763</v>
      </c>
      <c r="N55" s="3">
        <v>0.38789050200000003</v>
      </c>
      <c r="O55" s="3">
        <v>1.4960353239999999</v>
      </c>
      <c r="P55" s="3">
        <v>4.8082109830000004</v>
      </c>
      <c r="Q55" s="3">
        <v>1.7310824300000001</v>
      </c>
      <c r="R55" s="3">
        <v>3.1240205329999999</v>
      </c>
      <c r="S55" s="3">
        <v>47.257300430000001</v>
      </c>
      <c r="T55" s="3">
        <v>18.578000029999998</v>
      </c>
      <c r="U55" s="3">
        <v>22.359654020000001</v>
      </c>
      <c r="V55" s="3">
        <v>59.062345950000001</v>
      </c>
      <c r="W55" s="3">
        <v>52.06551142</v>
      </c>
      <c r="X55" s="3">
        <v>6.9968345330000004</v>
      </c>
      <c r="Y55">
        <v>52.065511416666673</v>
      </c>
    </row>
    <row r="56" spans="1:25">
      <c r="A56" t="s">
        <v>66</v>
      </c>
      <c r="B56" t="s">
        <v>63</v>
      </c>
      <c r="C56" s="3">
        <v>1.8042722410000001</v>
      </c>
      <c r="D56" s="3">
        <v>0.70079114600000003</v>
      </c>
      <c r="E56" s="3">
        <v>0.84493338500000004</v>
      </c>
      <c r="F56" s="3">
        <v>12.40441298</v>
      </c>
      <c r="G56" s="3">
        <v>5.4172935210000004</v>
      </c>
      <c r="H56" s="3">
        <v>0.63174898300000004</v>
      </c>
      <c r="I56" s="3">
        <v>4.1468156360000004</v>
      </c>
      <c r="J56" s="3">
        <v>16.36933054</v>
      </c>
      <c r="K56" s="3">
        <v>7.1828845399999999</v>
      </c>
      <c r="L56" s="3">
        <v>1.129111698</v>
      </c>
      <c r="M56" s="3">
        <v>1.3255259509999999</v>
      </c>
      <c r="N56" s="3">
        <v>0.600629254</v>
      </c>
      <c r="O56" s="3">
        <v>1.26565303</v>
      </c>
      <c r="P56" s="3">
        <v>3.9011186420000001</v>
      </c>
      <c r="Q56" s="3">
        <v>1.957472227</v>
      </c>
      <c r="R56" s="3">
        <v>2.7454507449999999</v>
      </c>
      <c r="S56" s="3">
        <v>37.572555469999998</v>
      </c>
      <c r="T56" s="3">
        <v>23.519396409999999</v>
      </c>
      <c r="U56" s="3">
        <v>26.5583919</v>
      </c>
      <c r="V56" s="3">
        <v>49.922211689999997</v>
      </c>
      <c r="W56" s="3">
        <v>41.473674119999998</v>
      </c>
      <c r="X56" s="3">
        <v>8.4485375699999992</v>
      </c>
      <c r="Y56">
        <v>41.473674116666658</v>
      </c>
    </row>
    <row r="57" spans="1:25">
      <c r="A57" t="s">
        <v>67</v>
      </c>
      <c r="B57" t="s">
        <v>63</v>
      </c>
      <c r="C57" s="3">
        <v>1.8042722410000001</v>
      </c>
      <c r="D57" s="3">
        <v>0.70079114600000003</v>
      </c>
      <c r="E57" s="3">
        <v>0.84493338500000004</v>
      </c>
      <c r="F57" s="3">
        <v>12.40441298</v>
      </c>
      <c r="G57" s="3">
        <v>5.4172935210000004</v>
      </c>
      <c r="H57" s="3">
        <v>0.63174898300000004</v>
      </c>
      <c r="I57" s="3">
        <v>4.1468156360000004</v>
      </c>
      <c r="J57" s="3">
        <v>16.36933054</v>
      </c>
      <c r="K57" s="3">
        <v>7.1828845399999999</v>
      </c>
      <c r="L57" s="3">
        <v>1.129111698</v>
      </c>
      <c r="M57" s="3">
        <v>1.3255259509999999</v>
      </c>
      <c r="N57" s="3">
        <v>0.600629254</v>
      </c>
      <c r="O57" s="3">
        <v>1.26565303</v>
      </c>
      <c r="P57" s="3">
        <v>3.9011186420000001</v>
      </c>
      <c r="Q57" s="3">
        <v>1.957472227</v>
      </c>
      <c r="R57" s="3">
        <v>2.7454507449999999</v>
      </c>
      <c r="S57" s="3">
        <v>37.572555469999998</v>
      </c>
      <c r="T57" s="3">
        <v>23.519396409999999</v>
      </c>
      <c r="U57" s="3">
        <v>26.5583919</v>
      </c>
      <c r="V57" s="3">
        <v>49.922211689999997</v>
      </c>
      <c r="W57" s="3">
        <v>41.473674119999998</v>
      </c>
      <c r="X57" s="3">
        <v>8.4485375699999992</v>
      </c>
      <c r="Y57">
        <v>41.473674116666658</v>
      </c>
    </row>
    <row r="58" spans="1:25">
      <c r="A58" t="s">
        <v>68</v>
      </c>
      <c r="B58" t="s">
        <v>63</v>
      </c>
      <c r="C58" s="3">
        <v>1.8042722410000001</v>
      </c>
      <c r="D58" s="3">
        <v>0.70079114600000003</v>
      </c>
      <c r="E58" s="3">
        <v>0.84493338500000004</v>
      </c>
      <c r="F58" s="3">
        <v>12.40441298</v>
      </c>
      <c r="G58" s="3">
        <v>5.4172935210000004</v>
      </c>
      <c r="H58" s="3">
        <v>0.63174898300000004</v>
      </c>
      <c r="I58" s="3">
        <v>4.1468156360000004</v>
      </c>
      <c r="J58" s="3">
        <v>16.36933054</v>
      </c>
      <c r="K58" s="3">
        <v>7.1828845399999999</v>
      </c>
      <c r="L58" s="3">
        <v>1.129111698</v>
      </c>
      <c r="M58" s="3">
        <v>1.3255259509999999</v>
      </c>
      <c r="N58" s="3">
        <v>0.600629254</v>
      </c>
      <c r="O58" s="3">
        <v>1.26565303</v>
      </c>
      <c r="P58" s="3">
        <v>3.9011186420000001</v>
      </c>
      <c r="Q58" s="3">
        <v>1.957472227</v>
      </c>
      <c r="R58" s="3">
        <v>2.7454507449999999</v>
      </c>
      <c r="S58" s="3">
        <v>37.572555469999998</v>
      </c>
      <c r="T58" s="3">
        <v>23.519396409999999</v>
      </c>
      <c r="U58" s="3">
        <v>26.5583919</v>
      </c>
      <c r="V58" s="3">
        <v>49.922211689999997</v>
      </c>
      <c r="W58" s="3">
        <v>41.473674119999998</v>
      </c>
      <c r="X58" s="3">
        <v>8.4485375699999992</v>
      </c>
      <c r="Y58">
        <v>41.473674116666658</v>
      </c>
    </row>
    <row r="59" spans="1:25">
      <c r="A59" t="s">
        <v>69</v>
      </c>
      <c r="B59" t="s">
        <v>63</v>
      </c>
      <c r="C59" s="3">
        <v>1.3347988399999999</v>
      </c>
      <c r="D59" s="3">
        <v>0.45819147300000002</v>
      </c>
      <c r="E59" s="3">
        <v>0.55959835700000005</v>
      </c>
      <c r="F59" s="3">
        <v>12.6961143</v>
      </c>
      <c r="G59" s="3">
        <v>5.4310855299999998</v>
      </c>
      <c r="H59" s="3">
        <v>0.487285778</v>
      </c>
      <c r="I59" s="3">
        <v>3.8469081030000001</v>
      </c>
      <c r="J59" s="3">
        <v>17.236123660000001</v>
      </c>
      <c r="K59" s="3">
        <v>9.8342394469999999</v>
      </c>
      <c r="L59" s="3">
        <v>0.70878271800000003</v>
      </c>
      <c r="M59" s="3">
        <v>0.67623696</v>
      </c>
      <c r="N59" s="3">
        <v>0.39400886200000002</v>
      </c>
      <c r="O59" s="3">
        <v>1.496474023</v>
      </c>
      <c r="P59" s="3">
        <v>3.5803992010000001</v>
      </c>
      <c r="Q59" s="3">
        <v>1.6651663109999999</v>
      </c>
      <c r="R59" s="3">
        <v>2.4726465640000002</v>
      </c>
      <c r="S59" s="3">
        <v>37.121939879999999</v>
      </c>
      <c r="T59" s="3">
        <v>21.692663270000001</v>
      </c>
      <c r="U59" s="3">
        <v>26.274284189999999</v>
      </c>
      <c r="V59" s="3">
        <v>52.033052550000001</v>
      </c>
      <c r="W59" s="3">
        <v>40.702339080000002</v>
      </c>
      <c r="X59" s="3">
        <v>11.330713469999999</v>
      </c>
      <c r="Y59">
        <v>40.702339083333342</v>
      </c>
    </row>
    <row r="60" spans="1:25">
      <c r="A60" t="s">
        <v>70</v>
      </c>
      <c r="B60" t="s">
        <v>63</v>
      </c>
      <c r="C60" s="3">
        <v>1.3347988399999999</v>
      </c>
      <c r="D60" s="3">
        <v>0.45819147300000002</v>
      </c>
      <c r="E60" s="3">
        <v>0.55959835700000005</v>
      </c>
      <c r="F60" s="3">
        <v>12.6961143</v>
      </c>
      <c r="G60" s="3">
        <v>5.4310855299999998</v>
      </c>
      <c r="H60" s="3">
        <v>0.487285778</v>
      </c>
      <c r="I60" s="3">
        <v>3.8469081030000001</v>
      </c>
      <c r="J60" s="3">
        <v>17.236123660000001</v>
      </c>
      <c r="K60" s="3">
        <v>9.8342394469999999</v>
      </c>
      <c r="L60" s="3">
        <v>0.70878271800000003</v>
      </c>
      <c r="M60" s="3">
        <v>0.67623696</v>
      </c>
      <c r="N60" s="3">
        <v>0.39400886200000002</v>
      </c>
      <c r="O60" s="3">
        <v>1.496474023</v>
      </c>
      <c r="P60" s="3">
        <v>3.5803992010000001</v>
      </c>
      <c r="Q60" s="3">
        <v>1.6651663109999999</v>
      </c>
      <c r="R60" s="3">
        <v>2.4726465640000002</v>
      </c>
      <c r="S60" s="3">
        <v>37.121939879999999</v>
      </c>
      <c r="T60" s="3">
        <v>21.692663270000001</v>
      </c>
      <c r="U60" s="3">
        <v>26.274284189999999</v>
      </c>
      <c r="V60" s="3">
        <v>52.033052550000001</v>
      </c>
      <c r="W60" s="3">
        <v>40.702339080000002</v>
      </c>
      <c r="X60" s="3">
        <v>11.330713469999999</v>
      </c>
      <c r="Y60">
        <v>40.702339083333342</v>
      </c>
    </row>
    <row r="61" spans="1:25">
      <c r="A61" t="s">
        <v>71</v>
      </c>
      <c r="B61" t="s">
        <v>63</v>
      </c>
      <c r="C61" s="3">
        <v>1.3347988399999999</v>
      </c>
      <c r="D61" s="3">
        <v>0.45819147300000002</v>
      </c>
      <c r="E61" s="3">
        <v>0.55959835700000005</v>
      </c>
      <c r="F61" s="3">
        <v>12.6961143</v>
      </c>
      <c r="G61" s="3">
        <v>5.4310855299999998</v>
      </c>
      <c r="H61" s="3">
        <v>0.487285778</v>
      </c>
      <c r="I61" s="3">
        <v>3.8469081030000001</v>
      </c>
      <c r="J61" s="3">
        <v>17.236123660000001</v>
      </c>
      <c r="K61" s="3">
        <v>9.8342394469999999</v>
      </c>
      <c r="L61" s="3">
        <v>0.70878271800000003</v>
      </c>
      <c r="M61" s="3">
        <v>0.67623696</v>
      </c>
      <c r="N61" s="3">
        <v>0.39400886200000002</v>
      </c>
      <c r="O61" s="3">
        <v>1.496474023</v>
      </c>
      <c r="P61" s="3">
        <v>3.5803992010000001</v>
      </c>
      <c r="Q61" s="3">
        <v>1.6651663109999999</v>
      </c>
      <c r="R61" s="3">
        <v>2.4726465640000002</v>
      </c>
      <c r="S61" s="3">
        <v>37.121939879999999</v>
      </c>
      <c r="T61" s="3">
        <v>21.692663270000001</v>
      </c>
      <c r="U61" s="3">
        <v>26.274284189999999</v>
      </c>
      <c r="V61" s="3">
        <v>52.033052550000001</v>
      </c>
      <c r="W61" s="3">
        <v>40.702339080000002</v>
      </c>
      <c r="X61" s="3">
        <v>11.330713469999999</v>
      </c>
      <c r="Y61">
        <v>40.702339083333342</v>
      </c>
    </row>
    <row r="62" spans="1:25">
      <c r="A62" t="s">
        <v>72</v>
      </c>
      <c r="B62" t="s">
        <v>63</v>
      </c>
      <c r="C62" s="3">
        <v>2.6458581880000001</v>
      </c>
      <c r="D62" s="3">
        <v>0.92037311099999997</v>
      </c>
      <c r="E62" s="3">
        <v>1.2078167070000001</v>
      </c>
      <c r="F62" s="3">
        <v>12.018352719999999</v>
      </c>
      <c r="G62" s="3">
        <v>4.8512019999999998</v>
      </c>
      <c r="H62" s="3">
        <v>0.73785587200000002</v>
      </c>
      <c r="I62" s="3">
        <v>4.143339986</v>
      </c>
      <c r="J62" s="3">
        <v>20.050900639999998</v>
      </c>
      <c r="K62" s="3">
        <v>9.1816832959999992</v>
      </c>
      <c r="L62" s="3">
        <v>1.7345129960000001</v>
      </c>
      <c r="M62" s="3">
        <v>2.4515810770000002</v>
      </c>
      <c r="N62" s="3">
        <v>0.84664229400000002</v>
      </c>
      <c r="O62" s="3">
        <v>1.4646903099999999</v>
      </c>
      <c r="P62" s="3">
        <v>4.5719037660000001</v>
      </c>
      <c r="Q62" s="3">
        <v>2.0269419769999999</v>
      </c>
      <c r="R62" s="3">
        <v>2.1130997979999999</v>
      </c>
      <c r="S62" s="3">
        <v>29.9044645</v>
      </c>
      <c r="T62" s="3">
        <v>24.796892540000002</v>
      </c>
      <c r="U62" s="3">
        <v>30.080365579999999</v>
      </c>
      <c r="V62" s="3">
        <v>45.122741869999999</v>
      </c>
      <c r="W62" s="3">
        <v>34.476368270000002</v>
      </c>
      <c r="X62" s="3">
        <v>10.646373609999999</v>
      </c>
      <c r="Y62">
        <v>34.476368266666668</v>
      </c>
    </row>
    <row r="63" spans="1:25">
      <c r="A63" t="s">
        <v>73</v>
      </c>
      <c r="B63" t="s">
        <v>63</v>
      </c>
      <c r="C63" s="3">
        <v>2.6458581880000001</v>
      </c>
      <c r="D63" s="3">
        <v>0.92037311099999997</v>
      </c>
      <c r="E63" s="3">
        <v>1.2078167070000001</v>
      </c>
      <c r="F63" s="3">
        <v>12.018352719999999</v>
      </c>
      <c r="G63" s="3">
        <v>4.8512019999999998</v>
      </c>
      <c r="H63" s="3">
        <v>0.73785587200000002</v>
      </c>
      <c r="I63" s="3">
        <v>4.143339986</v>
      </c>
      <c r="J63" s="3">
        <v>20.050900639999998</v>
      </c>
      <c r="K63" s="3">
        <v>9.1816832959999992</v>
      </c>
      <c r="L63" s="3">
        <v>1.7345129960000001</v>
      </c>
      <c r="M63" s="3">
        <v>2.4515810770000002</v>
      </c>
      <c r="N63" s="3">
        <v>0.84664229400000002</v>
      </c>
      <c r="O63" s="3">
        <v>1.4646903099999999</v>
      </c>
      <c r="P63" s="3">
        <v>4.5719037660000001</v>
      </c>
      <c r="Q63" s="3">
        <v>2.0269419769999999</v>
      </c>
      <c r="R63" s="3">
        <v>2.1130997979999999</v>
      </c>
      <c r="S63" s="3">
        <v>29.9044645</v>
      </c>
      <c r="T63" s="3">
        <v>24.796892540000002</v>
      </c>
      <c r="U63" s="3">
        <v>30.080365579999999</v>
      </c>
      <c r="V63" s="3">
        <v>45.122741869999999</v>
      </c>
      <c r="W63" s="3">
        <v>34.476368270000002</v>
      </c>
      <c r="X63" s="3">
        <v>10.646373609999999</v>
      </c>
      <c r="Y63">
        <v>34.476368266666668</v>
      </c>
    </row>
    <row r="64" spans="1:25">
      <c r="A64" t="s">
        <v>74</v>
      </c>
      <c r="B64" t="s">
        <v>63</v>
      </c>
      <c r="C64" s="3">
        <v>2.6458581880000001</v>
      </c>
      <c r="D64" s="3">
        <v>0.92037311099999997</v>
      </c>
      <c r="E64" s="3">
        <v>1.2078167070000001</v>
      </c>
      <c r="F64" s="3">
        <v>12.018352719999999</v>
      </c>
      <c r="G64" s="3">
        <v>4.8512019999999998</v>
      </c>
      <c r="H64" s="3">
        <v>0.73785587200000002</v>
      </c>
      <c r="I64" s="3">
        <v>4.143339986</v>
      </c>
      <c r="J64" s="3">
        <v>20.050900639999998</v>
      </c>
      <c r="K64" s="3">
        <v>9.1816832959999992</v>
      </c>
      <c r="L64" s="3">
        <v>1.7345129960000001</v>
      </c>
      <c r="M64" s="3">
        <v>2.4515810770000002</v>
      </c>
      <c r="N64" s="3">
        <v>0.84664229400000002</v>
      </c>
      <c r="O64" s="3">
        <v>1.4646903099999999</v>
      </c>
      <c r="P64" s="3">
        <v>4.5719037660000001</v>
      </c>
      <c r="Q64" s="3">
        <v>2.0269419769999999</v>
      </c>
      <c r="R64" s="3">
        <v>2.1130997979999999</v>
      </c>
      <c r="S64" s="3">
        <v>29.9044645</v>
      </c>
      <c r="T64" s="3">
        <v>24.796892540000002</v>
      </c>
      <c r="U64" s="3">
        <v>30.080365579999999</v>
      </c>
      <c r="V64" s="3">
        <v>45.122741869999999</v>
      </c>
      <c r="W64" s="3">
        <v>34.476368270000002</v>
      </c>
      <c r="X64" s="3">
        <v>10.646373609999999</v>
      </c>
      <c r="Y64">
        <v>34.476368266666668</v>
      </c>
    </row>
    <row r="65" spans="1:25">
      <c r="A65" t="s">
        <v>75</v>
      </c>
      <c r="B65" t="s">
        <v>63</v>
      </c>
      <c r="C65" s="3">
        <v>1.3792489830000001</v>
      </c>
      <c r="D65" s="3">
        <v>0.461036108</v>
      </c>
      <c r="E65" s="3">
        <v>0.56214713900000002</v>
      </c>
      <c r="F65" s="3">
        <v>11.54648561</v>
      </c>
      <c r="G65" s="3">
        <v>4.6576923030000001</v>
      </c>
      <c r="H65" s="3">
        <v>0.464105396</v>
      </c>
      <c r="I65" s="3">
        <v>3.951142463</v>
      </c>
      <c r="J65" s="3">
        <v>19.133792849999999</v>
      </c>
      <c r="K65" s="3">
        <v>10.55148455</v>
      </c>
      <c r="L65" s="3">
        <v>0.71553978100000004</v>
      </c>
      <c r="M65" s="3">
        <v>2.2488005580000001</v>
      </c>
      <c r="N65" s="3">
        <v>0.38825609599999999</v>
      </c>
      <c r="O65" s="3">
        <v>1.599421856</v>
      </c>
      <c r="P65" s="3">
        <v>3.8996705679999999</v>
      </c>
      <c r="Q65" s="3">
        <v>1.587632709</v>
      </c>
      <c r="R65" s="3">
        <v>2.0390002570000001</v>
      </c>
      <c r="S65" s="3">
        <v>34.814542779999996</v>
      </c>
      <c r="T65" s="3">
        <v>20.594558169999999</v>
      </c>
      <c r="U65" s="3">
        <v>28.540322079999999</v>
      </c>
      <c r="V65" s="3">
        <v>50.865119749999998</v>
      </c>
      <c r="W65" s="3">
        <v>38.714213340000001</v>
      </c>
      <c r="X65" s="3">
        <v>12.1509064</v>
      </c>
      <c r="Y65">
        <v>38.714213343333327</v>
      </c>
    </row>
    <row r="66" spans="1:25">
      <c r="A66" t="s">
        <v>76</v>
      </c>
      <c r="B66" t="s">
        <v>63</v>
      </c>
      <c r="C66" s="3">
        <v>1.3792489830000001</v>
      </c>
      <c r="D66" s="3">
        <v>0.461036108</v>
      </c>
      <c r="E66" s="3">
        <v>0.56214713900000002</v>
      </c>
      <c r="F66" s="3">
        <v>11.54648561</v>
      </c>
      <c r="G66" s="3">
        <v>4.6576923030000001</v>
      </c>
      <c r="H66" s="3">
        <v>0.464105396</v>
      </c>
      <c r="I66" s="3">
        <v>3.951142463</v>
      </c>
      <c r="J66" s="3">
        <v>19.133792849999999</v>
      </c>
      <c r="K66" s="3">
        <v>10.55148455</v>
      </c>
      <c r="L66" s="3">
        <v>0.71553978100000004</v>
      </c>
      <c r="M66" s="3">
        <v>2.2488005580000001</v>
      </c>
      <c r="N66" s="3">
        <v>0.38825609599999999</v>
      </c>
      <c r="O66" s="3">
        <v>1.599421856</v>
      </c>
      <c r="P66" s="3">
        <v>3.8996705679999999</v>
      </c>
      <c r="Q66" s="3">
        <v>1.587632709</v>
      </c>
      <c r="R66" s="3">
        <v>2.0390002570000001</v>
      </c>
      <c r="S66" s="3">
        <v>34.814542779999996</v>
      </c>
      <c r="T66" s="3">
        <v>20.594558169999999</v>
      </c>
      <c r="U66" s="3">
        <v>28.540322079999999</v>
      </c>
      <c r="V66" s="3">
        <v>50.865119749999998</v>
      </c>
      <c r="W66" s="3">
        <v>38.714213340000001</v>
      </c>
      <c r="X66" s="3">
        <v>12.1509064</v>
      </c>
      <c r="Y66">
        <v>38.714213343333327</v>
      </c>
    </row>
    <row r="67" spans="1:25">
      <c r="A67" t="s">
        <v>77</v>
      </c>
      <c r="B67" t="s">
        <v>63</v>
      </c>
      <c r="C67" s="3">
        <v>1.3792489830000001</v>
      </c>
      <c r="D67" s="3">
        <v>0.461036108</v>
      </c>
      <c r="E67" s="3">
        <v>0.56214713900000002</v>
      </c>
      <c r="F67" s="3">
        <v>11.54648561</v>
      </c>
      <c r="G67" s="3">
        <v>4.6576923030000001</v>
      </c>
      <c r="H67" s="3">
        <v>0.464105396</v>
      </c>
      <c r="I67" s="3">
        <v>3.951142463</v>
      </c>
      <c r="J67" s="3">
        <v>19.133792849999999</v>
      </c>
      <c r="K67" s="3">
        <v>10.55148455</v>
      </c>
      <c r="L67" s="3">
        <v>0.71553978100000004</v>
      </c>
      <c r="M67" s="3">
        <v>2.2488005580000001</v>
      </c>
      <c r="N67" s="3">
        <v>0.38825609599999999</v>
      </c>
      <c r="O67" s="3">
        <v>1.599421856</v>
      </c>
      <c r="P67" s="3">
        <v>3.8996705679999999</v>
      </c>
      <c r="Q67" s="3">
        <v>1.587632709</v>
      </c>
      <c r="R67" s="3">
        <v>2.0390002570000001</v>
      </c>
      <c r="S67" s="3">
        <v>34.814542779999996</v>
      </c>
      <c r="T67" s="3">
        <v>20.594558169999999</v>
      </c>
      <c r="U67" s="3">
        <v>28.540322079999999</v>
      </c>
      <c r="V67" s="3">
        <v>50.865119749999998</v>
      </c>
      <c r="W67" s="3">
        <v>38.714213340000001</v>
      </c>
      <c r="X67" s="3">
        <v>12.1509064</v>
      </c>
      <c r="Y67">
        <v>38.714213343333327</v>
      </c>
    </row>
    <row r="68" spans="1:25">
      <c r="A68" t="s">
        <v>78</v>
      </c>
      <c r="B68" t="s">
        <v>63</v>
      </c>
      <c r="C68" s="3">
        <v>1.897723673</v>
      </c>
      <c r="D68" s="3">
        <v>0.62372496300000002</v>
      </c>
      <c r="E68" s="3">
        <v>0.75337315500000002</v>
      </c>
      <c r="F68" s="3">
        <v>12.957795000000001</v>
      </c>
      <c r="G68" s="3">
        <v>5.1264474</v>
      </c>
      <c r="H68" s="3">
        <v>0.59847704800000001</v>
      </c>
      <c r="I68" s="3">
        <v>4.3480725299999996</v>
      </c>
      <c r="J68" s="3">
        <v>20.98217065</v>
      </c>
      <c r="K68" s="3">
        <v>10.07536459</v>
      </c>
      <c r="L68" s="3">
        <v>0.97116291499999996</v>
      </c>
      <c r="M68" s="3">
        <v>3.366626911</v>
      </c>
      <c r="N68" s="3">
        <v>0.49251294499999998</v>
      </c>
      <c r="O68" s="3">
        <v>1.6193655060000001</v>
      </c>
      <c r="P68" s="3">
        <v>3.3499805760000001</v>
      </c>
      <c r="Q68" s="3">
        <v>1.6000087460000001</v>
      </c>
      <c r="R68" s="3">
        <v>2.2205722560000001</v>
      </c>
      <c r="S68" s="3">
        <v>29.18079212</v>
      </c>
      <c r="T68" s="3">
        <v>23.454955030000001</v>
      </c>
      <c r="U68" s="3">
        <v>32.319542179999999</v>
      </c>
      <c r="V68" s="3">
        <v>44.225502800000001</v>
      </c>
      <c r="W68" s="3">
        <v>32.5307727</v>
      </c>
      <c r="X68" s="3">
        <v>11.69473009</v>
      </c>
      <c r="Y68">
        <v>32.530772696666673</v>
      </c>
    </row>
    <row r="69" spans="1:25">
      <c r="A69" t="s">
        <v>79</v>
      </c>
      <c r="B69" t="s">
        <v>63</v>
      </c>
      <c r="C69" s="3">
        <v>1.897723673</v>
      </c>
      <c r="D69" s="3">
        <v>0.62372496300000002</v>
      </c>
      <c r="E69" s="3">
        <v>0.75337315500000002</v>
      </c>
      <c r="F69" s="3">
        <v>12.957795000000001</v>
      </c>
      <c r="G69" s="3">
        <v>5.1264474</v>
      </c>
      <c r="H69" s="3">
        <v>0.59847704800000001</v>
      </c>
      <c r="I69" s="3">
        <v>4.3480725299999996</v>
      </c>
      <c r="J69" s="3">
        <v>20.98217065</v>
      </c>
      <c r="K69" s="3">
        <v>10.07536459</v>
      </c>
      <c r="L69" s="3">
        <v>0.97116291499999996</v>
      </c>
      <c r="M69" s="3">
        <v>3.366626911</v>
      </c>
      <c r="N69" s="3">
        <v>0.49251294499999998</v>
      </c>
      <c r="O69" s="3">
        <v>1.6193655060000001</v>
      </c>
      <c r="P69" s="3">
        <v>3.3499805760000001</v>
      </c>
      <c r="Q69" s="3">
        <v>1.6000087460000001</v>
      </c>
      <c r="R69" s="3">
        <v>2.2205722560000001</v>
      </c>
      <c r="S69" s="3">
        <v>29.18079212</v>
      </c>
      <c r="T69" s="3">
        <v>23.454955030000001</v>
      </c>
      <c r="U69" s="3">
        <v>32.319542179999999</v>
      </c>
      <c r="V69" s="3">
        <v>44.225502800000001</v>
      </c>
      <c r="W69" s="3">
        <v>32.5307727</v>
      </c>
      <c r="X69" s="3">
        <v>11.69473009</v>
      </c>
      <c r="Y69">
        <v>32.530772696666673</v>
      </c>
    </row>
    <row r="70" spans="1:25">
      <c r="A70" t="s">
        <v>80</v>
      </c>
      <c r="B70" t="s">
        <v>63</v>
      </c>
      <c r="C70">
        <v>1.897723673</v>
      </c>
      <c r="D70">
        <v>0.62372496300000002</v>
      </c>
      <c r="E70">
        <v>0.75337315500000002</v>
      </c>
      <c r="F70">
        <v>12.957795000000001</v>
      </c>
      <c r="G70">
        <v>5.1264474</v>
      </c>
      <c r="H70">
        <v>0.59847704800000001</v>
      </c>
      <c r="I70">
        <v>4.3480725299999996</v>
      </c>
      <c r="J70">
        <v>20.98217065</v>
      </c>
      <c r="K70">
        <v>10.07536459</v>
      </c>
      <c r="L70">
        <v>0.97116291499999996</v>
      </c>
      <c r="M70">
        <v>3.366626911</v>
      </c>
      <c r="N70">
        <v>0.49251294499999998</v>
      </c>
      <c r="O70">
        <v>1.6193655060000001</v>
      </c>
      <c r="P70">
        <v>3.3499805760000001</v>
      </c>
      <c r="Q70">
        <v>1.6000087460000001</v>
      </c>
      <c r="R70">
        <v>2.2205722560000001</v>
      </c>
      <c r="S70">
        <v>29.18079212</v>
      </c>
      <c r="T70">
        <v>23.454955030000001</v>
      </c>
      <c r="U70">
        <v>32.319542179999999</v>
      </c>
      <c r="V70">
        <v>44.225502800000001</v>
      </c>
      <c r="W70">
        <v>32.5307727</v>
      </c>
      <c r="X70">
        <v>11.69473009</v>
      </c>
      <c r="Y70">
        <v>32.530772696666673</v>
      </c>
    </row>
    <row r="71" spans="1:25">
      <c r="A71" t="s">
        <v>81</v>
      </c>
      <c r="B71" t="s">
        <v>63</v>
      </c>
      <c r="C71" s="3">
        <v>1.2187044650000001</v>
      </c>
      <c r="D71" s="3">
        <v>0.48345478800000002</v>
      </c>
      <c r="E71" s="3">
        <v>0.57055929999999999</v>
      </c>
      <c r="F71" s="3">
        <v>10.2676613</v>
      </c>
      <c r="G71" s="3">
        <v>2.3626386699999999</v>
      </c>
      <c r="H71" s="3">
        <v>0.43392878899999998</v>
      </c>
      <c r="I71" s="3">
        <v>3.854537729</v>
      </c>
      <c r="J71" s="3">
        <v>15.66554616</v>
      </c>
      <c r="K71" s="3">
        <v>7.350979454</v>
      </c>
      <c r="L71" s="3">
        <v>0.76748059000000002</v>
      </c>
      <c r="M71" s="3">
        <v>1.022145136</v>
      </c>
      <c r="N71" s="3">
        <v>0.41789232399999998</v>
      </c>
      <c r="O71" s="3">
        <v>1.39019246</v>
      </c>
      <c r="P71" s="3">
        <v>4.1111553519999999</v>
      </c>
      <c r="Q71" s="3">
        <v>1.9200919219999999</v>
      </c>
      <c r="R71" s="3">
        <v>2.694851968</v>
      </c>
      <c r="S71" s="3">
        <v>45.468179599999999</v>
      </c>
      <c r="T71" s="3">
        <v>19.450856420000001</v>
      </c>
      <c r="U71" s="3">
        <v>22.228636720000001</v>
      </c>
      <c r="V71" s="3">
        <v>58.320506860000002</v>
      </c>
      <c r="W71" s="3">
        <v>49.579334950000003</v>
      </c>
      <c r="X71" s="3">
        <v>8.7411719150000007</v>
      </c>
      <c r="Y71">
        <v>49.579334950000003</v>
      </c>
    </row>
    <row r="72" spans="1:25">
      <c r="A72" t="s">
        <v>82</v>
      </c>
      <c r="B72" t="s">
        <v>63</v>
      </c>
      <c r="C72" s="3">
        <v>1.2187044650000001</v>
      </c>
      <c r="D72" s="3">
        <v>0.48345478800000002</v>
      </c>
      <c r="E72" s="3">
        <v>0.57055929999999999</v>
      </c>
      <c r="F72" s="3">
        <v>10.2676613</v>
      </c>
      <c r="G72" s="3">
        <v>2.3626386699999999</v>
      </c>
      <c r="H72" s="3">
        <v>0.43392878899999998</v>
      </c>
      <c r="I72" s="3">
        <v>3.854537729</v>
      </c>
      <c r="J72" s="3">
        <v>15.66554616</v>
      </c>
      <c r="K72" s="3">
        <v>7.350979454</v>
      </c>
      <c r="L72" s="3">
        <v>0.76748059000000002</v>
      </c>
      <c r="M72" s="3">
        <v>1.022145136</v>
      </c>
      <c r="N72" s="3">
        <v>0.41789232399999998</v>
      </c>
      <c r="O72" s="3">
        <v>1.39019246</v>
      </c>
      <c r="P72" s="3">
        <v>4.1111553519999999</v>
      </c>
      <c r="Q72" s="3">
        <v>1.9200919219999999</v>
      </c>
      <c r="R72" s="3">
        <v>2.694851968</v>
      </c>
      <c r="S72" s="3">
        <v>45.468179599999999</v>
      </c>
      <c r="T72" s="3">
        <v>19.450856420000001</v>
      </c>
      <c r="U72" s="3">
        <v>22.228636720000001</v>
      </c>
      <c r="V72" s="3">
        <v>58.320506860000002</v>
      </c>
      <c r="W72" s="3">
        <v>49.579334950000003</v>
      </c>
      <c r="X72" s="3">
        <v>8.7411719150000007</v>
      </c>
      <c r="Y72">
        <v>49.579334950000003</v>
      </c>
    </row>
    <row r="73" spans="1:25">
      <c r="A73" t="s">
        <v>83</v>
      </c>
      <c r="B73" t="s">
        <v>63</v>
      </c>
      <c r="C73" s="3">
        <v>1.2187044650000001</v>
      </c>
      <c r="D73" s="3">
        <v>0.48345478800000002</v>
      </c>
      <c r="E73" s="3">
        <v>0.57055929999999999</v>
      </c>
      <c r="F73" s="3">
        <v>10.2676613</v>
      </c>
      <c r="G73" s="3">
        <v>2.3626386699999999</v>
      </c>
      <c r="H73" s="3">
        <v>0.43392878899999998</v>
      </c>
      <c r="I73" s="3">
        <v>3.854537729</v>
      </c>
      <c r="J73" s="3">
        <v>15.66554616</v>
      </c>
      <c r="K73" s="3">
        <v>7.350979454</v>
      </c>
      <c r="L73" s="3">
        <v>0.76748059000000002</v>
      </c>
      <c r="M73" s="3">
        <v>1.022145136</v>
      </c>
      <c r="N73" s="3">
        <v>0.41789232399999998</v>
      </c>
      <c r="O73" s="3">
        <v>1.39019246</v>
      </c>
      <c r="P73" s="3">
        <v>4.1111553519999999</v>
      </c>
      <c r="Q73" s="3">
        <v>1.9200919219999999</v>
      </c>
      <c r="R73" s="3">
        <v>2.694851968</v>
      </c>
      <c r="S73" s="3">
        <v>45.468179599999999</v>
      </c>
      <c r="T73" s="3">
        <v>19.450856420000001</v>
      </c>
      <c r="U73" s="3">
        <v>22.228636720000001</v>
      </c>
      <c r="V73" s="3">
        <v>58.320506860000002</v>
      </c>
      <c r="W73" s="3">
        <v>49.579334950000003</v>
      </c>
      <c r="X73" s="3">
        <v>8.7411719150000007</v>
      </c>
      <c r="Y73">
        <v>49.579334950000003</v>
      </c>
    </row>
    <row r="74" spans="1:25">
      <c r="A74" t="s">
        <v>84</v>
      </c>
      <c r="B74" t="s">
        <v>63</v>
      </c>
      <c r="C74" s="3">
        <v>2.1983350349999999</v>
      </c>
      <c r="D74" s="3">
        <v>0.74613289900000002</v>
      </c>
      <c r="E74" s="3">
        <v>0.87958360099999999</v>
      </c>
      <c r="F74" s="3">
        <v>12.468670810000001</v>
      </c>
      <c r="G74" s="3">
        <v>4.5297295880000004</v>
      </c>
      <c r="H74" s="3">
        <v>0.606046003</v>
      </c>
      <c r="I74" s="3">
        <v>4.2841098759999996</v>
      </c>
      <c r="J74" s="3">
        <v>19.149253460000001</v>
      </c>
      <c r="K74" s="3">
        <v>11.352427540000001</v>
      </c>
      <c r="L74" s="3">
        <v>1.2200744889999999</v>
      </c>
      <c r="M74" s="3">
        <v>3.3127762669999998</v>
      </c>
      <c r="N74" s="3">
        <v>0.54171530899999998</v>
      </c>
      <c r="O74" s="3">
        <v>1.376843952</v>
      </c>
      <c r="P74" s="3">
        <v>3.4566399649999999</v>
      </c>
      <c r="Q74" s="3">
        <v>1.73643514</v>
      </c>
      <c r="R74" s="3">
        <v>2.2413428999999998</v>
      </c>
      <c r="S74" s="3">
        <v>30.080454939999999</v>
      </c>
      <c r="T74" s="3">
        <v>23.754398500000001</v>
      </c>
      <c r="U74" s="3">
        <v>29.979235110000001</v>
      </c>
      <c r="V74" s="3">
        <v>46.266366390000002</v>
      </c>
      <c r="W74" s="3">
        <v>33.53709491</v>
      </c>
      <c r="X74" s="3">
        <v>12.72927149</v>
      </c>
      <c r="Y74">
        <v>33.537094906666667</v>
      </c>
    </row>
    <row r="75" spans="1:25">
      <c r="A75" t="s">
        <v>85</v>
      </c>
      <c r="B75" t="s">
        <v>63</v>
      </c>
      <c r="C75" s="3">
        <v>2.1983350349999999</v>
      </c>
      <c r="D75" s="3">
        <v>0.74613289900000002</v>
      </c>
      <c r="E75" s="3">
        <v>0.87958360099999999</v>
      </c>
      <c r="F75" s="3">
        <v>12.468670810000001</v>
      </c>
      <c r="G75" s="3">
        <v>4.5297295880000004</v>
      </c>
      <c r="H75" s="3">
        <v>0.606046003</v>
      </c>
      <c r="I75" s="3">
        <v>4.2841098759999996</v>
      </c>
      <c r="J75" s="3">
        <v>19.149253460000001</v>
      </c>
      <c r="K75" s="3">
        <v>11.352427540000001</v>
      </c>
      <c r="L75" s="3">
        <v>1.2200744889999999</v>
      </c>
      <c r="M75" s="3">
        <v>3.3127762669999998</v>
      </c>
      <c r="N75" s="3">
        <v>0.54171530899999998</v>
      </c>
      <c r="O75" s="3">
        <v>1.376843952</v>
      </c>
      <c r="P75" s="3">
        <v>3.4566399649999999</v>
      </c>
      <c r="Q75" s="3">
        <v>1.73643514</v>
      </c>
      <c r="R75" s="3">
        <v>2.2413428999999998</v>
      </c>
      <c r="S75" s="3">
        <v>30.080454939999999</v>
      </c>
      <c r="T75" s="3">
        <v>23.754398500000001</v>
      </c>
      <c r="U75" s="3">
        <v>29.979235110000001</v>
      </c>
      <c r="V75" s="3">
        <v>46.266366390000002</v>
      </c>
      <c r="W75" s="3">
        <v>33.53709491</v>
      </c>
      <c r="X75" s="3">
        <v>12.72927149</v>
      </c>
      <c r="Y75">
        <v>33.537094906666667</v>
      </c>
    </row>
    <row r="76" spans="1:25">
      <c r="A76" t="s">
        <v>86</v>
      </c>
      <c r="B76" t="s">
        <v>63</v>
      </c>
      <c r="C76" s="3">
        <v>2.1983350349999999</v>
      </c>
      <c r="D76" s="3">
        <v>0.74613289900000002</v>
      </c>
      <c r="E76" s="3">
        <v>0.87958360099999999</v>
      </c>
      <c r="F76" s="3">
        <v>12.468670810000001</v>
      </c>
      <c r="G76" s="3">
        <v>4.5297295880000004</v>
      </c>
      <c r="H76" s="3">
        <v>0.606046003</v>
      </c>
      <c r="I76" s="3">
        <v>4.2841098759999996</v>
      </c>
      <c r="J76" s="3">
        <v>19.149253460000001</v>
      </c>
      <c r="K76" s="3">
        <v>11.352427540000001</v>
      </c>
      <c r="L76" s="3">
        <v>1.2200744889999999</v>
      </c>
      <c r="M76" s="3">
        <v>3.3127762669999998</v>
      </c>
      <c r="N76" s="3">
        <v>0.54171530899999998</v>
      </c>
      <c r="O76" s="3">
        <v>1.376843952</v>
      </c>
      <c r="P76" s="3">
        <v>3.4566399649999999</v>
      </c>
      <c r="Q76" s="3">
        <v>1.73643514</v>
      </c>
      <c r="R76" s="3">
        <v>2.2413428999999998</v>
      </c>
      <c r="S76" s="3">
        <v>30.080454939999999</v>
      </c>
      <c r="T76" s="3">
        <v>23.754398500000001</v>
      </c>
      <c r="U76" s="3">
        <v>29.979235110000001</v>
      </c>
      <c r="V76" s="3">
        <v>46.266366390000002</v>
      </c>
      <c r="W76" s="3">
        <v>33.53709491</v>
      </c>
      <c r="X76" s="3">
        <v>12.72927149</v>
      </c>
      <c r="Y76">
        <v>33.537094906666667</v>
      </c>
    </row>
    <row r="77" spans="1:25">
      <c r="A77" t="s">
        <v>87</v>
      </c>
      <c r="B77" t="s">
        <v>63</v>
      </c>
      <c r="C77" s="3">
        <v>1.4370201090000001</v>
      </c>
      <c r="D77" s="3">
        <v>0.47394988799999999</v>
      </c>
      <c r="E77" s="3">
        <v>0.59858445299999996</v>
      </c>
      <c r="F77" s="3">
        <v>11.84118097</v>
      </c>
      <c r="G77" s="3">
        <v>4.259953114</v>
      </c>
      <c r="H77" s="3">
        <v>0.43656258799999997</v>
      </c>
      <c r="I77" s="3">
        <v>4.1829242820000001</v>
      </c>
      <c r="J77" s="3">
        <v>20.612552010000002</v>
      </c>
      <c r="K77" s="3">
        <v>13.24336501</v>
      </c>
      <c r="L77" s="3">
        <v>0.81142733499999997</v>
      </c>
      <c r="M77" s="3">
        <v>0.97993898800000001</v>
      </c>
      <c r="N77" s="3">
        <v>0.393910602</v>
      </c>
      <c r="O77" s="3">
        <v>0.96613156300000003</v>
      </c>
      <c r="P77" s="3">
        <v>4.0579723559999996</v>
      </c>
      <c r="Q77" s="3">
        <v>1.4648623940000001</v>
      </c>
      <c r="R77" s="3">
        <v>2.7945665200000001</v>
      </c>
      <c r="S77" s="3">
        <v>31.445097820000001</v>
      </c>
      <c r="T77" s="3">
        <v>21.166472729999999</v>
      </c>
      <c r="U77" s="3">
        <v>29.12096051</v>
      </c>
      <c r="V77" s="3">
        <v>49.712566760000001</v>
      </c>
      <c r="W77" s="3">
        <v>35.503070180000002</v>
      </c>
      <c r="X77" s="3">
        <v>14.20949658</v>
      </c>
      <c r="Y77">
        <v>35.503070176666661</v>
      </c>
    </row>
    <row r="78" spans="1:25">
      <c r="A78" t="s">
        <v>88</v>
      </c>
      <c r="B78" t="s">
        <v>63</v>
      </c>
      <c r="C78" s="3">
        <v>1.4370201090000001</v>
      </c>
      <c r="D78" s="3">
        <v>0.47394988799999999</v>
      </c>
      <c r="E78" s="3">
        <v>0.59858445299999996</v>
      </c>
      <c r="F78" s="3">
        <v>11.84118097</v>
      </c>
      <c r="G78" s="3">
        <v>4.259953114</v>
      </c>
      <c r="H78" s="3">
        <v>0.43656258799999997</v>
      </c>
      <c r="I78" s="3">
        <v>4.1829242820000001</v>
      </c>
      <c r="J78" s="3">
        <v>20.612552010000002</v>
      </c>
      <c r="K78" s="3">
        <v>13.24336501</v>
      </c>
      <c r="L78" s="3">
        <v>0.81142733499999997</v>
      </c>
      <c r="M78" s="3">
        <v>0.97993898800000001</v>
      </c>
      <c r="N78" s="3">
        <v>0.393910602</v>
      </c>
      <c r="O78" s="3">
        <v>0.96613156300000003</v>
      </c>
      <c r="P78" s="3">
        <v>4.0579723559999996</v>
      </c>
      <c r="Q78" s="3">
        <v>1.4648623940000001</v>
      </c>
      <c r="R78" s="3">
        <v>2.7945665200000001</v>
      </c>
      <c r="S78" s="3">
        <v>31.445097820000001</v>
      </c>
      <c r="T78" s="3">
        <v>21.166472729999999</v>
      </c>
      <c r="U78" s="3">
        <v>29.12096051</v>
      </c>
      <c r="V78" s="3">
        <v>49.712566760000001</v>
      </c>
      <c r="W78" s="3">
        <v>35.503070180000002</v>
      </c>
      <c r="X78" s="3">
        <v>14.20949658</v>
      </c>
      <c r="Y78">
        <v>35.503070176666661</v>
      </c>
    </row>
    <row r="79" spans="1:25">
      <c r="A79" t="s">
        <v>89</v>
      </c>
      <c r="B79" t="s">
        <v>63</v>
      </c>
      <c r="C79" s="3">
        <v>1.4370201090000001</v>
      </c>
      <c r="D79" s="3">
        <v>0.47394988799999999</v>
      </c>
      <c r="E79" s="3">
        <v>0.59858445299999996</v>
      </c>
      <c r="F79" s="3">
        <v>11.84118097</v>
      </c>
      <c r="G79" s="3">
        <v>4.259953114</v>
      </c>
      <c r="H79" s="3">
        <v>0.43656258799999997</v>
      </c>
      <c r="I79" s="3">
        <v>4.1829242820000001</v>
      </c>
      <c r="J79" s="3">
        <v>20.612552010000002</v>
      </c>
      <c r="K79" s="3">
        <v>13.24336501</v>
      </c>
      <c r="L79" s="3">
        <v>0.81142733499999997</v>
      </c>
      <c r="M79" s="3">
        <v>0.97993898800000001</v>
      </c>
      <c r="N79" s="3">
        <v>0.393910602</v>
      </c>
      <c r="O79" s="3">
        <v>0.96613156300000003</v>
      </c>
      <c r="P79" s="3">
        <v>4.0579723559999996</v>
      </c>
      <c r="Q79" s="3">
        <v>1.4648623940000001</v>
      </c>
      <c r="R79" s="3">
        <v>2.7945665200000001</v>
      </c>
      <c r="S79" s="3">
        <v>31.445097820000001</v>
      </c>
      <c r="T79" s="3">
        <v>21.166472729999999</v>
      </c>
      <c r="U79" s="3">
        <v>29.12096051</v>
      </c>
      <c r="V79" s="3">
        <v>49.712566760000001</v>
      </c>
      <c r="W79" s="3">
        <v>35.503070180000002</v>
      </c>
      <c r="X79" s="3">
        <v>14.20949658</v>
      </c>
      <c r="Y79">
        <v>35.503070176666661</v>
      </c>
    </row>
    <row r="80" spans="1:25">
      <c r="A80" t="s">
        <v>90</v>
      </c>
      <c r="B80" t="s">
        <v>63</v>
      </c>
      <c r="C80" s="3">
        <v>1.6463351020000001</v>
      </c>
      <c r="D80" s="3">
        <v>0.59935331199999997</v>
      </c>
      <c r="E80" s="3">
        <v>0.71112251500000001</v>
      </c>
      <c r="F80" s="3">
        <v>11.051973650000001</v>
      </c>
      <c r="G80" s="3">
        <v>4.6785209310000004</v>
      </c>
      <c r="H80" s="3">
        <v>0.56309219300000002</v>
      </c>
      <c r="I80" s="3">
        <v>4.4210448099999997</v>
      </c>
      <c r="J80" s="3">
        <v>19.651305740000002</v>
      </c>
      <c r="K80" s="3">
        <v>13.05308775</v>
      </c>
      <c r="L80" s="3">
        <v>0.97190861500000003</v>
      </c>
      <c r="M80" s="3">
        <v>1.2743764259999999</v>
      </c>
      <c r="N80" s="3">
        <v>0.48247670199999998</v>
      </c>
      <c r="O80" s="3">
        <v>0.20434353699999999</v>
      </c>
      <c r="P80" s="3">
        <v>4.1701576239999998</v>
      </c>
      <c r="Q80" s="3">
        <v>1.637515396</v>
      </c>
      <c r="R80" s="3">
        <v>3.4499082890000001</v>
      </c>
      <c r="S80" s="3">
        <v>31.433477400000001</v>
      </c>
      <c r="T80" s="3">
        <v>21.485468990000001</v>
      </c>
      <c r="U80" s="3">
        <v>29.653464710000002</v>
      </c>
      <c r="V80" s="3">
        <v>48.861066309999998</v>
      </c>
      <c r="W80" s="3">
        <v>35.603635019999999</v>
      </c>
      <c r="X80" s="3">
        <v>13.25743129</v>
      </c>
      <c r="Y80">
        <v>35.603635019999999</v>
      </c>
    </row>
    <row r="81" spans="1:25">
      <c r="A81" t="s">
        <v>91</v>
      </c>
      <c r="B81" t="s">
        <v>63</v>
      </c>
      <c r="C81" s="3">
        <v>1.6463351020000001</v>
      </c>
      <c r="D81" s="3">
        <v>0.59935331199999997</v>
      </c>
      <c r="E81" s="3">
        <v>0.71112251500000001</v>
      </c>
      <c r="F81" s="3">
        <v>11.051973650000001</v>
      </c>
      <c r="G81" s="3">
        <v>4.6785209310000004</v>
      </c>
      <c r="H81" s="3">
        <v>0.56309219300000002</v>
      </c>
      <c r="I81" s="3">
        <v>4.4210448099999997</v>
      </c>
      <c r="J81" s="3">
        <v>19.651305740000002</v>
      </c>
      <c r="K81" s="3">
        <v>13.05308775</v>
      </c>
      <c r="L81" s="3">
        <v>0.97190861500000003</v>
      </c>
      <c r="M81" s="3">
        <v>1.2743764259999999</v>
      </c>
      <c r="N81" s="3">
        <v>0.48247670199999998</v>
      </c>
      <c r="O81" s="3">
        <v>0.20434353699999999</v>
      </c>
      <c r="P81" s="3">
        <v>4.1701576239999998</v>
      </c>
      <c r="Q81" s="3">
        <v>1.637515396</v>
      </c>
      <c r="R81" s="3">
        <v>3.4499082890000001</v>
      </c>
      <c r="S81" s="3">
        <v>31.433477400000001</v>
      </c>
      <c r="T81" s="3">
        <v>21.485468990000001</v>
      </c>
      <c r="U81" s="3">
        <v>29.653464710000002</v>
      </c>
      <c r="V81" s="3">
        <v>48.861066309999998</v>
      </c>
      <c r="W81" s="3">
        <v>35.603635019999999</v>
      </c>
      <c r="X81" s="3">
        <v>13.25743129</v>
      </c>
      <c r="Y81">
        <v>35.603635019999999</v>
      </c>
    </row>
    <row r="82" spans="1:25">
      <c r="A82" t="s">
        <v>92</v>
      </c>
      <c r="B82" t="s">
        <v>63</v>
      </c>
      <c r="C82" s="3">
        <v>1.6463351020000001</v>
      </c>
      <c r="D82" s="3">
        <v>0.59935331199999997</v>
      </c>
      <c r="E82" s="3">
        <v>0.71112251500000001</v>
      </c>
      <c r="F82" s="3">
        <v>11.051973650000001</v>
      </c>
      <c r="G82" s="3">
        <v>4.6785209310000004</v>
      </c>
      <c r="H82" s="3">
        <v>0.56309219300000002</v>
      </c>
      <c r="I82" s="3">
        <v>4.4210448099999997</v>
      </c>
      <c r="J82" s="3">
        <v>19.651305740000002</v>
      </c>
      <c r="K82" s="3">
        <v>13.05308775</v>
      </c>
      <c r="L82" s="3">
        <v>0.97190861500000003</v>
      </c>
      <c r="M82" s="3">
        <v>1.2743764259999999</v>
      </c>
      <c r="N82" s="3">
        <v>0.48247670199999998</v>
      </c>
      <c r="O82" s="3">
        <v>0.20434353699999999</v>
      </c>
      <c r="P82" s="3">
        <v>4.1701576239999998</v>
      </c>
      <c r="Q82" s="3">
        <v>1.637515396</v>
      </c>
      <c r="R82" s="3">
        <v>3.4499082890000001</v>
      </c>
      <c r="S82" s="3">
        <v>31.433477400000001</v>
      </c>
      <c r="T82" s="3">
        <v>21.485468990000001</v>
      </c>
      <c r="U82" s="3">
        <v>29.653464710000002</v>
      </c>
      <c r="V82" s="3">
        <v>48.861066309999998</v>
      </c>
      <c r="W82" s="3">
        <v>35.603635019999999</v>
      </c>
      <c r="X82" s="3">
        <v>13.25743129</v>
      </c>
      <c r="Y82">
        <v>35.603635019999999</v>
      </c>
    </row>
    <row r="83" spans="1:25">
      <c r="A83" t="s">
        <v>93</v>
      </c>
      <c r="B83" t="s">
        <v>63</v>
      </c>
      <c r="C83" s="3">
        <v>1.9822218620000001</v>
      </c>
      <c r="D83" s="3">
        <v>0.69876373199999997</v>
      </c>
      <c r="E83" s="3">
        <v>0.83016638499999995</v>
      </c>
      <c r="F83" s="3">
        <v>12.072854700000001</v>
      </c>
      <c r="G83" s="3">
        <v>4.5807445619999996</v>
      </c>
      <c r="H83" s="3">
        <v>0.63590385500000002</v>
      </c>
      <c r="I83" s="3">
        <v>4.7303584660000002</v>
      </c>
      <c r="J83" s="3">
        <v>22.424899669999999</v>
      </c>
      <c r="K83" s="3">
        <v>12.88717574</v>
      </c>
      <c r="L83" s="3">
        <v>1.129273043</v>
      </c>
      <c r="M83" s="3">
        <v>1.205898023</v>
      </c>
      <c r="N83" s="3">
        <v>0.57296908099999999</v>
      </c>
      <c r="O83" s="3">
        <v>0.20602145799999999</v>
      </c>
      <c r="P83" s="3">
        <v>3.9986066760000001</v>
      </c>
      <c r="Q83" s="3">
        <v>1.829263576</v>
      </c>
      <c r="R83" s="3">
        <v>3.7313362529999998</v>
      </c>
      <c r="S83" s="3">
        <v>30.97025786</v>
      </c>
      <c r="T83" s="3">
        <v>23.59202127</v>
      </c>
      <c r="U83" s="3">
        <v>32.641642240000003</v>
      </c>
      <c r="V83" s="3">
        <v>43.76633649</v>
      </c>
      <c r="W83" s="3">
        <v>34.968864539999998</v>
      </c>
      <c r="X83" s="3">
        <v>8.7974719480000001</v>
      </c>
      <c r="Y83">
        <v>34.968864536666658</v>
      </c>
    </row>
    <row r="84" spans="1:25">
      <c r="A84" t="s">
        <v>94</v>
      </c>
      <c r="B84" t="s">
        <v>63</v>
      </c>
      <c r="C84" s="3">
        <v>1.9822218620000001</v>
      </c>
      <c r="D84" s="3">
        <v>0.69876373199999997</v>
      </c>
      <c r="E84" s="3">
        <v>0.83016638499999995</v>
      </c>
      <c r="F84" s="3">
        <v>12.072854700000001</v>
      </c>
      <c r="G84" s="3">
        <v>4.5807445619999996</v>
      </c>
      <c r="H84" s="3">
        <v>0.63590385500000002</v>
      </c>
      <c r="I84" s="3">
        <v>4.7303584660000002</v>
      </c>
      <c r="J84" s="3">
        <v>22.424899669999999</v>
      </c>
      <c r="K84" s="3">
        <v>12.88717574</v>
      </c>
      <c r="L84" s="3">
        <v>1.129273043</v>
      </c>
      <c r="M84" s="3">
        <v>1.205898023</v>
      </c>
      <c r="N84" s="3">
        <v>0.57296908099999999</v>
      </c>
      <c r="O84" s="3">
        <v>0.20602145799999999</v>
      </c>
      <c r="P84" s="3">
        <v>3.9986066760000001</v>
      </c>
      <c r="Q84" s="3">
        <v>1.829263576</v>
      </c>
      <c r="R84" s="3">
        <v>3.7313362529999998</v>
      </c>
      <c r="S84" s="3">
        <v>30.97025786</v>
      </c>
      <c r="T84" s="3">
        <v>23.59202127</v>
      </c>
      <c r="U84" s="3">
        <v>32.641642240000003</v>
      </c>
      <c r="V84" s="3">
        <v>43.76633649</v>
      </c>
      <c r="W84" s="3">
        <v>34.968864539999998</v>
      </c>
      <c r="X84" s="3">
        <v>8.7974719480000001</v>
      </c>
      <c r="Y84">
        <v>34.968864536666658</v>
      </c>
    </row>
    <row r="85" spans="1:25">
      <c r="A85" t="s">
        <v>95</v>
      </c>
      <c r="B85" t="s">
        <v>63</v>
      </c>
      <c r="C85" s="3">
        <v>1.9822218620000001</v>
      </c>
      <c r="D85" s="3">
        <v>0.69876373199999997</v>
      </c>
      <c r="E85" s="3">
        <v>0.83016638499999995</v>
      </c>
      <c r="F85" s="3">
        <v>12.072854700000001</v>
      </c>
      <c r="G85" s="3">
        <v>4.5807445619999996</v>
      </c>
      <c r="H85" s="3">
        <v>0.63590385500000002</v>
      </c>
      <c r="I85" s="3">
        <v>4.7303584660000002</v>
      </c>
      <c r="J85" s="3">
        <v>22.424899669999999</v>
      </c>
      <c r="K85" s="3">
        <v>12.88717574</v>
      </c>
      <c r="L85" s="3">
        <v>1.129273043</v>
      </c>
      <c r="M85" s="3">
        <v>1.205898023</v>
      </c>
      <c r="N85" s="3">
        <v>0.57296908099999999</v>
      </c>
      <c r="O85" s="3">
        <v>0.20602145799999999</v>
      </c>
      <c r="P85" s="3">
        <v>3.9986066760000001</v>
      </c>
      <c r="Q85" s="3">
        <v>1.829263576</v>
      </c>
      <c r="R85" s="3">
        <v>3.7313362529999998</v>
      </c>
      <c r="S85" s="3">
        <v>30.97025786</v>
      </c>
      <c r="T85" s="3">
        <v>23.59202127</v>
      </c>
      <c r="U85" s="3">
        <v>32.641642240000003</v>
      </c>
      <c r="V85" s="3">
        <v>43.76633649</v>
      </c>
      <c r="W85" s="3">
        <v>34.968864539999998</v>
      </c>
      <c r="X85" s="3">
        <v>8.7974719480000001</v>
      </c>
      <c r="Y85">
        <v>34.968864536666658</v>
      </c>
    </row>
    <row r="86" spans="1:25">
      <c r="A86" t="s">
        <v>96</v>
      </c>
      <c r="B86" t="s">
        <v>63</v>
      </c>
      <c r="C86" s="3">
        <v>1.8422021230000001</v>
      </c>
      <c r="D86" s="3">
        <v>0.56366892700000004</v>
      </c>
      <c r="E86" s="3">
        <v>0.70758863800000005</v>
      </c>
      <c r="F86" s="3">
        <v>12.995619039999999</v>
      </c>
      <c r="G86" s="3">
        <v>6.217462147</v>
      </c>
      <c r="H86" s="3">
        <v>0.60608029699999999</v>
      </c>
      <c r="I86" s="3">
        <v>4.7709148450000001</v>
      </c>
      <c r="J86" s="3">
        <v>12.14873113</v>
      </c>
      <c r="K86" s="3">
        <v>7.3217903599999996</v>
      </c>
      <c r="L86" s="3">
        <v>0.96266388400000003</v>
      </c>
      <c r="M86" s="3">
        <v>1.193755742</v>
      </c>
      <c r="N86" s="3">
        <v>0.51390777799999998</v>
      </c>
      <c r="O86" s="3">
        <v>0.194203288</v>
      </c>
      <c r="P86" s="3">
        <v>5.7265537670000004</v>
      </c>
      <c r="Q86" s="3">
        <v>1.970453199</v>
      </c>
      <c r="R86" s="3">
        <v>4.2407854599999997</v>
      </c>
      <c r="S86" s="3">
        <v>40.464216159999999</v>
      </c>
      <c r="T86" s="3">
        <v>24.36942981</v>
      </c>
      <c r="U86" s="3">
        <v>24.364403410000001</v>
      </c>
      <c r="V86" s="3">
        <v>51.26616679</v>
      </c>
      <c r="W86" s="3">
        <v>46.190769930000002</v>
      </c>
      <c r="X86" s="3">
        <v>5.0753968609999998</v>
      </c>
      <c r="Y86">
        <v>46.190769926666668</v>
      </c>
    </row>
    <row r="87" spans="1:25">
      <c r="A87" t="s">
        <v>97</v>
      </c>
      <c r="B87" t="s">
        <v>63</v>
      </c>
      <c r="C87" s="3">
        <v>1.8422021230000001</v>
      </c>
      <c r="D87" s="3">
        <v>0.56366892700000004</v>
      </c>
      <c r="E87" s="3">
        <v>0.70758863800000005</v>
      </c>
      <c r="F87" s="3">
        <v>12.995619039999999</v>
      </c>
      <c r="G87" s="3">
        <v>6.217462147</v>
      </c>
      <c r="H87" s="3">
        <v>0.60608029699999999</v>
      </c>
      <c r="I87" s="3">
        <v>4.7709148450000001</v>
      </c>
      <c r="J87" s="3">
        <v>12.14873113</v>
      </c>
      <c r="K87" s="3">
        <v>7.3217903599999996</v>
      </c>
      <c r="L87" s="3">
        <v>0.96266388400000003</v>
      </c>
      <c r="M87" s="3">
        <v>1.193755742</v>
      </c>
      <c r="N87" s="3">
        <v>0.51390777799999998</v>
      </c>
      <c r="O87" s="3">
        <v>0.194203288</v>
      </c>
      <c r="P87" s="3">
        <v>5.7265537670000004</v>
      </c>
      <c r="Q87" s="3">
        <v>1.970453199</v>
      </c>
      <c r="R87" s="3">
        <v>4.2407854599999997</v>
      </c>
      <c r="S87" s="3">
        <v>40.464216159999999</v>
      </c>
      <c r="T87" s="3">
        <v>24.36942981</v>
      </c>
      <c r="U87" s="3">
        <v>24.364403410000001</v>
      </c>
      <c r="V87" s="3">
        <v>51.26616679</v>
      </c>
      <c r="W87" s="3">
        <v>46.190769930000002</v>
      </c>
      <c r="X87" s="3">
        <v>5.0753968609999998</v>
      </c>
      <c r="Y87">
        <v>46.190769926666668</v>
      </c>
    </row>
    <row r="88" spans="1:25">
      <c r="A88" t="s">
        <v>98</v>
      </c>
      <c r="B88" t="s">
        <v>63</v>
      </c>
      <c r="C88" s="3">
        <v>1.8422021230000001</v>
      </c>
      <c r="D88" s="3">
        <v>0.56366892700000004</v>
      </c>
      <c r="E88" s="3">
        <v>0.70758863800000005</v>
      </c>
      <c r="F88" s="3">
        <v>12.995619039999999</v>
      </c>
      <c r="G88" s="3">
        <v>6.217462147</v>
      </c>
      <c r="H88" s="3">
        <v>0.60608029699999999</v>
      </c>
      <c r="I88" s="3">
        <v>4.7709148450000001</v>
      </c>
      <c r="J88" s="3">
        <v>12.14873113</v>
      </c>
      <c r="K88" s="3">
        <v>7.3217903599999996</v>
      </c>
      <c r="L88" s="3">
        <v>0.96266388400000003</v>
      </c>
      <c r="M88" s="3">
        <v>1.193755742</v>
      </c>
      <c r="N88" s="3">
        <v>0.51390777799999998</v>
      </c>
      <c r="O88" s="3">
        <v>0.194203288</v>
      </c>
      <c r="P88" s="3">
        <v>5.7265537670000004</v>
      </c>
      <c r="Q88" s="3">
        <v>1.970453199</v>
      </c>
      <c r="R88" s="3">
        <v>4.2407854599999997</v>
      </c>
      <c r="S88" s="3">
        <v>40.464216159999999</v>
      </c>
      <c r="T88" s="3">
        <v>24.36942981</v>
      </c>
      <c r="U88" s="3">
        <v>24.364403410000001</v>
      </c>
      <c r="V88" s="3">
        <v>51.26616679</v>
      </c>
      <c r="W88" s="3">
        <v>46.190769930000002</v>
      </c>
      <c r="X88" s="3">
        <v>5.0753968609999998</v>
      </c>
      <c r="Y88">
        <v>46.190769926666668</v>
      </c>
    </row>
    <row r="89" spans="1:25">
      <c r="A89" t="s">
        <v>99</v>
      </c>
      <c r="B89" t="s">
        <v>63</v>
      </c>
      <c r="C89" s="3">
        <v>2.2080055129999998</v>
      </c>
      <c r="D89" s="3">
        <v>0.71630323699999998</v>
      </c>
      <c r="E89" s="3">
        <v>0.84202259099999999</v>
      </c>
      <c r="F89" s="3">
        <v>12.45938808</v>
      </c>
      <c r="G89" s="3">
        <v>5.6995998380000001</v>
      </c>
      <c r="H89" s="3">
        <v>0.63619053699999994</v>
      </c>
      <c r="I89" s="3">
        <v>4.4603098360000004</v>
      </c>
      <c r="J89" s="3">
        <v>9.7439265269999993</v>
      </c>
      <c r="K89" s="3">
        <v>4.3638351289999999</v>
      </c>
      <c r="L89" s="3">
        <v>1.1878726289999999</v>
      </c>
      <c r="M89" s="3">
        <v>1.531398405</v>
      </c>
      <c r="N89" s="3">
        <v>0.62514104500000001</v>
      </c>
      <c r="O89" s="3">
        <v>0.18325069699999999</v>
      </c>
      <c r="P89" s="3">
        <v>6.6428241469999998</v>
      </c>
      <c r="Q89" s="3">
        <v>2.1736501650000002</v>
      </c>
      <c r="R89" s="3">
        <v>5.0838941640000002</v>
      </c>
      <c r="S89" s="3">
        <v>41.952853599999997</v>
      </c>
      <c r="T89" s="3">
        <v>24.592580399999999</v>
      </c>
      <c r="U89" s="3">
        <v>22.264656030000001</v>
      </c>
      <c r="V89" s="3">
        <v>53.14276357</v>
      </c>
      <c r="W89" s="3">
        <v>48.595677739999999</v>
      </c>
      <c r="X89" s="3">
        <v>4.547085826</v>
      </c>
      <c r="Y89">
        <v>48.59567774333334</v>
      </c>
    </row>
    <row r="90" spans="1:25">
      <c r="A90" t="s">
        <v>100</v>
      </c>
      <c r="B90" t="s">
        <v>63</v>
      </c>
      <c r="C90" s="3">
        <v>2.2080055129999998</v>
      </c>
      <c r="D90" s="3">
        <v>0.71630323699999998</v>
      </c>
      <c r="E90" s="3">
        <v>0.84202259099999999</v>
      </c>
      <c r="F90" s="3">
        <v>12.45938808</v>
      </c>
      <c r="G90" s="3">
        <v>5.6995998380000001</v>
      </c>
      <c r="H90" s="3">
        <v>0.63619053699999994</v>
      </c>
      <c r="I90" s="3">
        <v>4.4603098360000004</v>
      </c>
      <c r="J90" s="3">
        <v>9.7439265269999993</v>
      </c>
      <c r="K90" s="3">
        <v>4.3638351289999999</v>
      </c>
      <c r="L90" s="3">
        <v>1.1878726289999999</v>
      </c>
      <c r="M90" s="3">
        <v>1.531398405</v>
      </c>
      <c r="N90" s="3">
        <v>0.62514104500000001</v>
      </c>
      <c r="O90" s="3">
        <v>0.18325069699999999</v>
      </c>
      <c r="P90" s="3">
        <v>6.6428241469999998</v>
      </c>
      <c r="Q90" s="3">
        <v>2.1736501650000002</v>
      </c>
      <c r="R90" s="3">
        <v>5.0838941640000002</v>
      </c>
      <c r="S90" s="3">
        <v>41.952853599999997</v>
      </c>
      <c r="T90" s="3">
        <v>24.592580399999999</v>
      </c>
      <c r="U90" s="3">
        <v>22.264656030000001</v>
      </c>
      <c r="V90" s="3">
        <v>53.14276357</v>
      </c>
      <c r="W90" s="3">
        <v>48.595677739999999</v>
      </c>
      <c r="X90" s="3">
        <v>4.547085826</v>
      </c>
      <c r="Y90">
        <v>48.59567774333334</v>
      </c>
    </row>
    <row r="91" spans="1:25">
      <c r="A91" t="s">
        <v>101</v>
      </c>
      <c r="B91" t="s">
        <v>63</v>
      </c>
      <c r="C91" s="3">
        <v>2.2080055129999998</v>
      </c>
      <c r="D91" s="3">
        <v>0.71630323699999998</v>
      </c>
      <c r="E91" s="3">
        <v>0.84202259099999999</v>
      </c>
      <c r="F91" s="3">
        <v>12.45938808</v>
      </c>
      <c r="G91" s="3">
        <v>5.6995998380000001</v>
      </c>
      <c r="H91" s="3">
        <v>0.63619053699999994</v>
      </c>
      <c r="I91" s="3">
        <v>4.4603098360000004</v>
      </c>
      <c r="J91" s="3">
        <v>9.7439265269999993</v>
      </c>
      <c r="K91" s="3">
        <v>4.3638351289999999</v>
      </c>
      <c r="L91" s="3">
        <v>1.1878726289999999</v>
      </c>
      <c r="M91" s="3">
        <v>1.531398405</v>
      </c>
      <c r="N91" s="3">
        <v>0.62514104500000001</v>
      </c>
      <c r="O91" s="3">
        <v>0.18325069699999999</v>
      </c>
      <c r="P91" s="3">
        <v>6.6428241469999998</v>
      </c>
      <c r="Q91" s="3">
        <v>2.1736501650000002</v>
      </c>
      <c r="R91" s="3">
        <v>5.0838941640000002</v>
      </c>
      <c r="S91" s="3">
        <v>41.952853599999997</v>
      </c>
      <c r="T91" s="3">
        <v>24.592580399999999</v>
      </c>
      <c r="U91" s="3">
        <v>22.264656030000001</v>
      </c>
      <c r="V91" s="3">
        <v>53.14276357</v>
      </c>
      <c r="W91" s="3">
        <v>48.595677739999999</v>
      </c>
      <c r="X91" s="3">
        <v>4.547085826</v>
      </c>
      <c r="Y91">
        <v>48.59567774333334</v>
      </c>
    </row>
    <row r="92" spans="1:25">
      <c r="A92" t="s">
        <v>102</v>
      </c>
      <c r="B92" t="s">
        <v>63</v>
      </c>
      <c r="C92" s="3">
        <v>2.0593344669999998</v>
      </c>
      <c r="D92" s="3">
        <v>0.59448303499999999</v>
      </c>
      <c r="E92" s="3">
        <v>0.71251657899999998</v>
      </c>
      <c r="F92" s="3">
        <v>13.200996200000001</v>
      </c>
      <c r="G92" s="3">
        <v>6.8440499600000004</v>
      </c>
      <c r="H92" s="3">
        <v>0.58636896999999999</v>
      </c>
      <c r="I92" s="3">
        <v>5.0323726510000002</v>
      </c>
      <c r="J92" s="3">
        <v>6.8970811039999997</v>
      </c>
      <c r="K92" s="3">
        <v>3.4076162459999999</v>
      </c>
      <c r="L92" s="3">
        <v>0.96415976599999997</v>
      </c>
      <c r="M92" s="3">
        <v>0.50190078100000002</v>
      </c>
      <c r="N92" s="3">
        <v>0.49643790500000001</v>
      </c>
      <c r="O92" s="3">
        <v>0.20699152200000001</v>
      </c>
      <c r="P92" s="3">
        <v>7.946430189</v>
      </c>
      <c r="Q92" s="3">
        <v>1.8697472260000001</v>
      </c>
      <c r="R92" s="3">
        <v>4.9538759140000002</v>
      </c>
      <c r="S92" s="3">
        <v>43.725637489999997</v>
      </c>
      <c r="T92" s="3">
        <v>24.921933760000002</v>
      </c>
      <c r="U92" s="3">
        <v>19.791390799999999</v>
      </c>
      <c r="V92" s="3">
        <v>55.286675440000003</v>
      </c>
      <c r="W92" s="3">
        <v>51.672067679999998</v>
      </c>
      <c r="X92" s="3">
        <v>3.6146077669999999</v>
      </c>
      <c r="Y92">
        <v>51.672067676666657</v>
      </c>
    </row>
    <row r="93" spans="1:25">
      <c r="A93" t="s">
        <v>103</v>
      </c>
      <c r="B93" t="s">
        <v>63</v>
      </c>
      <c r="C93" s="3">
        <v>2.0593344669999998</v>
      </c>
      <c r="D93" s="3">
        <v>0.59448303499999999</v>
      </c>
      <c r="E93" s="3">
        <v>0.71251657899999998</v>
      </c>
      <c r="F93" s="3">
        <v>13.200996200000001</v>
      </c>
      <c r="G93" s="3">
        <v>6.8440499600000004</v>
      </c>
      <c r="H93" s="3">
        <v>0.58636896999999999</v>
      </c>
      <c r="I93" s="3">
        <v>5.0323726510000002</v>
      </c>
      <c r="J93" s="3">
        <v>6.8970811039999997</v>
      </c>
      <c r="K93" s="3">
        <v>3.4076162459999999</v>
      </c>
      <c r="L93" s="3">
        <v>0.96415976599999997</v>
      </c>
      <c r="M93" s="3">
        <v>0.50190078100000002</v>
      </c>
      <c r="N93" s="3">
        <v>0.49643790500000001</v>
      </c>
      <c r="O93" s="3">
        <v>0.20699152200000001</v>
      </c>
      <c r="P93" s="3">
        <v>7.946430189</v>
      </c>
      <c r="Q93" s="3">
        <v>1.8697472260000001</v>
      </c>
      <c r="R93" s="3">
        <v>4.9538759140000002</v>
      </c>
      <c r="S93" s="3">
        <v>43.725637489999997</v>
      </c>
      <c r="T93" s="3">
        <v>24.921933760000002</v>
      </c>
      <c r="U93" s="3">
        <v>19.791390799999999</v>
      </c>
      <c r="V93" s="3">
        <v>55.286675440000003</v>
      </c>
      <c r="W93" s="3">
        <v>51.672067679999998</v>
      </c>
      <c r="X93" s="3">
        <v>3.6146077669999999</v>
      </c>
      <c r="Y93">
        <v>51.672067676666657</v>
      </c>
    </row>
    <row r="94" spans="1:25">
      <c r="A94" t="s">
        <v>104</v>
      </c>
      <c r="B94" t="s">
        <v>63</v>
      </c>
      <c r="C94" s="3">
        <v>2.0593344669999998</v>
      </c>
      <c r="D94" s="3">
        <v>0.59448303499999999</v>
      </c>
      <c r="E94" s="3">
        <v>0.71251657899999998</v>
      </c>
      <c r="F94" s="3">
        <v>13.200996200000001</v>
      </c>
      <c r="G94" s="3">
        <v>6.8440499600000004</v>
      </c>
      <c r="H94" s="3">
        <v>0.58636896999999999</v>
      </c>
      <c r="I94" s="3">
        <v>5.0323726510000002</v>
      </c>
      <c r="J94" s="3">
        <v>6.8970811039999997</v>
      </c>
      <c r="K94" s="3">
        <v>3.4076162459999999</v>
      </c>
      <c r="L94" s="3">
        <v>0.96415976599999997</v>
      </c>
      <c r="M94" s="3">
        <v>0.50190078100000002</v>
      </c>
      <c r="N94" s="3">
        <v>0.49643790500000001</v>
      </c>
      <c r="O94" s="3">
        <v>0.20699152200000001</v>
      </c>
      <c r="P94" s="3">
        <v>7.946430189</v>
      </c>
      <c r="Q94" s="3">
        <v>1.8697472260000001</v>
      </c>
      <c r="R94" s="3">
        <v>4.9538759140000002</v>
      </c>
      <c r="S94" s="3">
        <v>43.725637489999997</v>
      </c>
      <c r="T94" s="3">
        <v>24.921933760000002</v>
      </c>
      <c r="U94" s="3">
        <v>19.791390799999999</v>
      </c>
      <c r="V94" s="3">
        <v>55.286675440000003</v>
      </c>
      <c r="W94" s="3">
        <v>51.672067679999998</v>
      </c>
      <c r="X94" s="3">
        <v>3.6146077669999999</v>
      </c>
      <c r="Y94">
        <v>51.672067676666657</v>
      </c>
    </row>
    <row r="95" spans="1:25">
      <c r="A95" t="s">
        <v>105</v>
      </c>
      <c r="B95" t="s">
        <v>63</v>
      </c>
      <c r="C95" s="3">
        <v>1.8015571909999999</v>
      </c>
      <c r="D95" s="3">
        <v>0.46822047900000002</v>
      </c>
      <c r="E95" s="3">
        <v>0.63971476400000005</v>
      </c>
      <c r="F95" s="3">
        <v>13.2139585</v>
      </c>
      <c r="G95" s="3">
        <v>5.9729112459999998</v>
      </c>
      <c r="H95" s="3">
        <v>0.56579461200000003</v>
      </c>
      <c r="I95" s="3">
        <v>5.0892362090000001</v>
      </c>
      <c r="J95" s="3">
        <v>7.0739079680000003</v>
      </c>
      <c r="K95" s="3">
        <v>3.592216954</v>
      </c>
      <c r="L95" s="3">
        <v>0.86451199000000001</v>
      </c>
      <c r="M95" s="3">
        <v>3.1971046049999998</v>
      </c>
      <c r="N95" s="3">
        <v>0.45575179300000002</v>
      </c>
      <c r="O95" s="3">
        <v>0.197576996</v>
      </c>
      <c r="P95" s="3">
        <v>5.9592400300000001</v>
      </c>
      <c r="Q95" s="3">
        <v>1.85335133</v>
      </c>
      <c r="R95" s="3">
        <v>5.1193229589999998</v>
      </c>
      <c r="S95" s="3">
        <v>45.157397400000001</v>
      </c>
      <c r="T95" s="3">
        <v>24.483876389999999</v>
      </c>
      <c r="U95" s="3">
        <v>20.60969223</v>
      </c>
      <c r="V95" s="3">
        <v>54.906431380000001</v>
      </c>
      <c r="W95" s="3">
        <v>51.116637429999997</v>
      </c>
      <c r="X95" s="3">
        <v>3.78979395</v>
      </c>
      <c r="Y95">
        <v>51.116637426666657</v>
      </c>
    </row>
    <row r="96" spans="1:25">
      <c r="A96" t="s">
        <v>106</v>
      </c>
      <c r="B96" t="s">
        <v>63</v>
      </c>
      <c r="C96" s="3">
        <v>1.8015571909999999</v>
      </c>
      <c r="D96" s="3">
        <v>0.46822047900000002</v>
      </c>
      <c r="E96" s="3">
        <v>0.63971476400000005</v>
      </c>
      <c r="F96" s="3">
        <v>13.2139585</v>
      </c>
      <c r="G96" s="3">
        <v>5.9729112459999998</v>
      </c>
      <c r="H96" s="3">
        <v>0.56579461200000003</v>
      </c>
      <c r="I96" s="3">
        <v>5.0892362090000001</v>
      </c>
      <c r="J96" s="3">
        <v>7.0739079680000003</v>
      </c>
      <c r="K96" s="3">
        <v>3.592216954</v>
      </c>
      <c r="L96" s="3">
        <v>0.86451199000000001</v>
      </c>
      <c r="M96" s="3">
        <v>3.1971046049999998</v>
      </c>
      <c r="N96" s="3">
        <v>0.45575179300000002</v>
      </c>
      <c r="O96" s="3">
        <v>0.197576996</v>
      </c>
      <c r="P96" s="3">
        <v>5.9592400300000001</v>
      </c>
      <c r="Q96" s="3">
        <v>1.85335133</v>
      </c>
      <c r="R96" s="3">
        <v>5.1193229589999998</v>
      </c>
      <c r="S96" s="3">
        <v>45.157397400000001</v>
      </c>
      <c r="T96" s="3">
        <v>24.483876389999999</v>
      </c>
      <c r="U96" s="3">
        <v>20.60969223</v>
      </c>
      <c r="V96" s="3">
        <v>54.906431380000001</v>
      </c>
      <c r="W96" s="3">
        <v>51.116637429999997</v>
      </c>
      <c r="X96" s="3">
        <v>3.78979395</v>
      </c>
      <c r="Y96">
        <v>51.116637426666657</v>
      </c>
    </row>
    <row r="97" spans="1:25">
      <c r="A97" t="s">
        <v>107</v>
      </c>
      <c r="B97" t="s">
        <v>63</v>
      </c>
      <c r="C97" s="3">
        <v>1.8015571909999999</v>
      </c>
      <c r="D97" s="3">
        <v>0.46822047900000002</v>
      </c>
      <c r="E97" s="3">
        <v>0.63971476400000005</v>
      </c>
      <c r="F97" s="3">
        <v>13.2139585</v>
      </c>
      <c r="G97" s="3">
        <v>5.9729112459999998</v>
      </c>
      <c r="H97" s="3">
        <v>0.56579461200000003</v>
      </c>
      <c r="I97" s="3">
        <v>5.0892362090000001</v>
      </c>
      <c r="J97" s="3">
        <v>7.0739079680000003</v>
      </c>
      <c r="K97" s="3">
        <v>3.592216954</v>
      </c>
      <c r="L97" s="3">
        <v>0.86451199000000001</v>
      </c>
      <c r="M97" s="3">
        <v>3.1971046049999998</v>
      </c>
      <c r="N97" s="3">
        <v>0.45575179300000002</v>
      </c>
      <c r="O97" s="3">
        <v>0.197576996</v>
      </c>
      <c r="P97" s="3">
        <v>5.9592400300000001</v>
      </c>
      <c r="Q97" s="3">
        <v>1.85335133</v>
      </c>
      <c r="R97" s="3">
        <v>5.1193229589999998</v>
      </c>
      <c r="S97" s="3">
        <v>45.157397400000001</v>
      </c>
      <c r="T97" s="3">
        <v>24.483876389999999</v>
      </c>
      <c r="U97" s="3">
        <v>20.60969223</v>
      </c>
      <c r="V97" s="3">
        <v>54.906431380000001</v>
      </c>
      <c r="W97" s="3">
        <v>51.116637429999997</v>
      </c>
      <c r="X97" s="3">
        <v>3.78979395</v>
      </c>
      <c r="Y97">
        <v>51.116637426666657</v>
      </c>
    </row>
    <row r="98" spans="1:25">
      <c r="A98" t="s">
        <v>108</v>
      </c>
      <c r="B98" t="s">
        <v>63</v>
      </c>
      <c r="C98" s="3">
        <v>1.9035771029999999</v>
      </c>
      <c r="D98" s="3">
        <v>0.50553926999999999</v>
      </c>
      <c r="E98" s="3">
        <v>0.62790074200000001</v>
      </c>
      <c r="F98" s="3">
        <v>13.628308199999999</v>
      </c>
      <c r="G98" s="3">
        <v>6.355256732</v>
      </c>
      <c r="H98" s="3">
        <v>0.60340343900000004</v>
      </c>
      <c r="I98" s="3">
        <v>4.8556300329999997</v>
      </c>
      <c r="J98" s="3">
        <v>6.3625561890000002</v>
      </c>
      <c r="K98" s="3">
        <v>3.087143169</v>
      </c>
      <c r="L98" s="3">
        <v>0.81328208999999996</v>
      </c>
      <c r="M98" s="3">
        <v>1.9163809460000001</v>
      </c>
      <c r="N98" s="3">
        <v>0.43195210499999998</v>
      </c>
      <c r="O98" s="3">
        <v>0.20065771499999999</v>
      </c>
      <c r="P98" s="3">
        <v>7.7230269030000001</v>
      </c>
      <c r="Q98" s="3">
        <v>1.84870684</v>
      </c>
      <c r="R98" s="3">
        <v>4.6478096009999996</v>
      </c>
      <c r="S98" s="3">
        <v>44.488868930000002</v>
      </c>
      <c r="T98" s="3">
        <v>24.712760549999999</v>
      </c>
      <c r="U98" s="3">
        <v>19.787542739999999</v>
      </c>
      <c r="V98" s="3">
        <v>55.499696710000002</v>
      </c>
      <c r="W98" s="3">
        <v>52.211895830000003</v>
      </c>
      <c r="X98" s="3">
        <v>3.2878008840000001</v>
      </c>
      <c r="Y98">
        <v>52.211895830000003</v>
      </c>
    </row>
    <row r="99" spans="1:25">
      <c r="A99" t="s">
        <v>109</v>
      </c>
      <c r="B99" t="s">
        <v>63</v>
      </c>
      <c r="C99" s="3">
        <v>1.9035771029999999</v>
      </c>
      <c r="D99" s="3">
        <v>0.50553926999999999</v>
      </c>
      <c r="E99" s="3">
        <v>0.62790074200000001</v>
      </c>
      <c r="F99" s="3">
        <v>13.628308199999999</v>
      </c>
      <c r="G99" s="3">
        <v>6.355256732</v>
      </c>
      <c r="H99" s="3">
        <v>0.60340343900000004</v>
      </c>
      <c r="I99" s="3">
        <v>4.8556300329999997</v>
      </c>
      <c r="J99" s="3">
        <v>6.3625561890000002</v>
      </c>
      <c r="K99" s="3">
        <v>3.087143169</v>
      </c>
      <c r="L99" s="3">
        <v>0.81328208999999996</v>
      </c>
      <c r="M99" s="3">
        <v>1.9163809460000001</v>
      </c>
      <c r="N99" s="3">
        <v>0.43195210499999998</v>
      </c>
      <c r="O99" s="3">
        <v>0.20065771499999999</v>
      </c>
      <c r="P99" s="3">
        <v>7.7230269030000001</v>
      </c>
      <c r="Q99" s="3">
        <v>1.84870684</v>
      </c>
      <c r="R99" s="3">
        <v>4.6478096009999996</v>
      </c>
      <c r="S99" s="3">
        <v>44.488868930000002</v>
      </c>
      <c r="T99" s="3">
        <v>24.712760549999999</v>
      </c>
      <c r="U99" s="3">
        <v>19.787542739999999</v>
      </c>
      <c r="V99" s="3">
        <v>55.499696710000002</v>
      </c>
      <c r="W99" s="3">
        <v>52.211895830000003</v>
      </c>
      <c r="X99" s="3">
        <v>3.2878008840000001</v>
      </c>
      <c r="Y99">
        <v>52.211895830000003</v>
      </c>
    </row>
    <row r="100" spans="1:25">
      <c r="A100" t="s">
        <v>110</v>
      </c>
      <c r="B100" t="s">
        <v>63</v>
      </c>
      <c r="C100" s="3">
        <v>1.9035771029999999</v>
      </c>
      <c r="D100" s="3">
        <v>0.50553926999999999</v>
      </c>
      <c r="E100" s="3">
        <v>0.62790074200000001</v>
      </c>
      <c r="F100" s="3">
        <v>13.628308199999999</v>
      </c>
      <c r="G100" s="3">
        <v>6.355256732</v>
      </c>
      <c r="H100" s="3">
        <v>0.60340343900000004</v>
      </c>
      <c r="I100" s="3">
        <v>4.8556300329999997</v>
      </c>
      <c r="J100" s="3">
        <v>6.3625561890000002</v>
      </c>
      <c r="K100" s="3">
        <v>3.087143169</v>
      </c>
      <c r="L100" s="3">
        <v>0.81328208999999996</v>
      </c>
      <c r="M100" s="3">
        <v>1.9163809460000001</v>
      </c>
      <c r="N100" s="3">
        <v>0.43195210499999998</v>
      </c>
      <c r="O100" s="3">
        <v>0.20065771499999999</v>
      </c>
      <c r="P100" s="3">
        <v>7.7230269030000001</v>
      </c>
      <c r="Q100" s="3">
        <v>1.84870684</v>
      </c>
      <c r="R100" s="3">
        <v>4.6478096009999996</v>
      </c>
      <c r="S100" s="3">
        <v>44.488868930000002</v>
      </c>
      <c r="T100" s="3">
        <v>24.712760549999999</v>
      </c>
      <c r="U100" s="3">
        <v>19.787542739999999</v>
      </c>
      <c r="V100" s="3">
        <v>55.499696710000002</v>
      </c>
      <c r="W100" s="3">
        <v>52.211895830000003</v>
      </c>
      <c r="X100" s="3">
        <v>3.2878008840000001</v>
      </c>
      <c r="Y100">
        <v>52.211895830000003</v>
      </c>
    </row>
    <row r="101" spans="1:25">
      <c r="A101" t="s">
        <v>111</v>
      </c>
      <c r="B101" t="s">
        <v>63</v>
      </c>
      <c r="C101" s="3">
        <v>1.650910723</v>
      </c>
      <c r="D101" s="3">
        <v>0.53506052999999998</v>
      </c>
      <c r="E101" s="3">
        <v>0.625848815</v>
      </c>
      <c r="F101" s="3">
        <v>12.4109376</v>
      </c>
      <c r="G101" s="3">
        <v>4.755246369</v>
      </c>
      <c r="H101" s="3">
        <v>0.53744335700000001</v>
      </c>
      <c r="I101" s="3">
        <v>4.6281561299999998</v>
      </c>
      <c r="J101" s="3">
        <v>6.1095059420000002</v>
      </c>
      <c r="K101" s="3">
        <v>1.400836236</v>
      </c>
      <c r="L101" s="3">
        <v>0.88113866500000004</v>
      </c>
      <c r="M101" s="3">
        <v>0.71250816800000005</v>
      </c>
      <c r="N101" s="3">
        <v>0.46897272299999998</v>
      </c>
      <c r="O101" s="3">
        <v>1.579116594</v>
      </c>
      <c r="P101" s="3">
        <v>8.4760650949999992</v>
      </c>
      <c r="Q101" s="3">
        <v>2.1170553939999999</v>
      </c>
      <c r="R101" s="3">
        <v>3.0312853720000001</v>
      </c>
      <c r="S101" s="3">
        <v>50.236236529999999</v>
      </c>
      <c r="T101" s="3">
        <v>23.164139160000001</v>
      </c>
      <c r="U101" s="3">
        <v>15.14360638</v>
      </c>
      <c r="V101" s="3">
        <v>61.69225445</v>
      </c>
      <c r="W101" s="3">
        <v>58.712301619999998</v>
      </c>
      <c r="X101" s="3">
        <v>2.9799528300000002</v>
      </c>
      <c r="Y101">
        <v>58.712301620000012</v>
      </c>
    </row>
    <row r="102" spans="1:25">
      <c r="A102" t="s">
        <v>112</v>
      </c>
      <c r="B102" t="s">
        <v>63</v>
      </c>
      <c r="C102" s="3">
        <v>1.650910723</v>
      </c>
      <c r="D102" s="3">
        <v>0.53506052999999998</v>
      </c>
      <c r="E102" s="3">
        <v>0.625848815</v>
      </c>
      <c r="F102" s="3">
        <v>12.4109376</v>
      </c>
      <c r="G102" s="3">
        <v>4.755246369</v>
      </c>
      <c r="H102" s="3">
        <v>0.53744335700000001</v>
      </c>
      <c r="I102" s="3">
        <v>4.6281561299999998</v>
      </c>
      <c r="J102" s="3">
        <v>6.1095059420000002</v>
      </c>
      <c r="K102" s="3">
        <v>1.400836236</v>
      </c>
      <c r="L102" s="3">
        <v>0.88113866500000004</v>
      </c>
      <c r="M102" s="3">
        <v>0.71250816800000005</v>
      </c>
      <c r="N102" s="3">
        <v>0.46897272299999998</v>
      </c>
      <c r="O102" s="3">
        <v>1.579116594</v>
      </c>
      <c r="P102" s="3">
        <v>8.4760650949999992</v>
      </c>
      <c r="Q102" s="3">
        <v>2.1170553939999999</v>
      </c>
      <c r="R102" s="3">
        <v>3.0312853720000001</v>
      </c>
      <c r="S102" s="3">
        <v>50.236236529999999</v>
      </c>
      <c r="T102" s="3">
        <v>23.164139160000001</v>
      </c>
      <c r="U102" s="3">
        <v>15.14360638</v>
      </c>
      <c r="V102" s="3">
        <v>61.69225445</v>
      </c>
      <c r="W102" s="3">
        <v>58.712301619999998</v>
      </c>
      <c r="X102" s="3">
        <v>2.9799528300000002</v>
      </c>
      <c r="Y102">
        <v>58.712301620000012</v>
      </c>
    </row>
    <row r="103" spans="1:25">
      <c r="A103" t="s">
        <v>113</v>
      </c>
      <c r="B103" t="s">
        <v>63</v>
      </c>
      <c r="C103" s="3">
        <v>1.650910723</v>
      </c>
      <c r="D103" s="3">
        <v>0.53506052999999998</v>
      </c>
      <c r="E103" s="3">
        <v>0.625848815</v>
      </c>
      <c r="F103" s="3">
        <v>12.4109376</v>
      </c>
      <c r="G103" s="3">
        <v>4.755246369</v>
      </c>
      <c r="H103" s="3">
        <v>0.53744335700000001</v>
      </c>
      <c r="I103" s="3">
        <v>4.6281561299999998</v>
      </c>
      <c r="J103" s="3">
        <v>6.1095059420000002</v>
      </c>
      <c r="K103" s="3">
        <v>1.400836236</v>
      </c>
      <c r="L103" s="3">
        <v>0.88113866500000004</v>
      </c>
      <c r="M103" s="3">
        <v>0.71250816800000005</v>
      </c>
      <c r="N103" s="3">
        <v>0.46897272299999998</v>
      </c>
      <c r="O103" s="3">
        <v>1.579116594</v>
      </c>
      <c r="P103" s="3">
        <v>8.4760650949999992</v>
      </c>
      <c r="Q103" s="3">
        <v>2.1170553939999999</v>
      </c>
      <c r="R103" s="3">
        <v>3.0312853720000001</v>
      </c>
      <c r="S103" s="3">
        <v>50.236236529999999</v>
      </c>
      <c r="T103" s="3">
        <v>23.164139160000001</v>
      </c>
      <c r="U103" s="3">
        <v>15.14360638</v>
      </c>
      <c r="V103" s="3">
        <v>61.69225445</v>
      </c>
      <c r="W103" s="3">
        <v>58.712301619999998</v>
      </c>
      <c r="X103" s="3">
        <v>2.9799528300000002</v>
      </c>
      <c r="Y103">
        <v>58.712301620000012</v>
      </c>
    </row>
    <row r="104" spans="1:25">
      <c r="A104" t="s">
        <v>114</v>
      </c>
      <c r="B104" t="s">
        <v>63</v>
      </c>
      <c r="C104" s="3">
        <v>1.4414029020000001</v>
      </c>
      <c r="D104" s="3">
        <v>0.42432221199999998</v>
      </c>
      <c r="E104" s="3">
        <v>0.49540293400000002</v>
      </c>
      <c r="F104" s="3">
        <v>12.213217009999999</v>
      </c>
      <c r="G104" s="3">
        <v>6.0523628479999996</v>
      </c>
      <c r="H104" s="3">
        <v>0.469632618</v>
      </c>
      <c r="I104" s="3">
        <v>4.4128853179999998</v>
      </c>
      <c r="J104" s="3">
        <v>6.9001037260000002</v>
      </c>
      <c r="K104" s="3">
        <v>2.6253399989999999</v>
      </c>
      <c r="L104" s="3">
        <v>0.67755538800000004</v>
      </c>
      <c r="M104" s="3">
        <v>0.77174067899999998</v>
      </c>
      <c r="N104" s="3">
        <v>0.340705329</v>
      </c>
      <c r="O104" s="3">
        <v>1.2359940060000001</v>
      </c>
      <c r="P104" s="3">
        <v>10.345809429999999</v>
      </c>
      <c r="Q104" s="3">
        <v>1.969544883</v>
      </c>
      <c r="R104" s="3">
        <v>2.5548404320000002</v>
      </c>
      <c r="S104" s="3">
        <v>47.069140279999999</v>
      </c>
      <c r="T104" s="3">
        <v>22.020346379999999</v>
      </c>
      <c r="U104" s="3">
        <v>16.703369899999998</v>
      </c>
      <c r="V104" s="3">
        <v>61.276283720000002</v>
      </c>
      <c r="W104" s="3">
        <v>57.414949720000003</v>
      </c>
      <c r="X104" s="3">
        <v>3.8613340049999998</v>
      </c>
      <c r="Y104">
        <v>57.414949716666662</v>
      </c>
    </row>
    <row r="105" spans="1:25">
      <c r="A105" t="s">
        <v>115</v>
      </c>
      <c r="B105" t="s">
        <v>63</v>
      </c>
      <c r="C105" s="3">
        <v>1.4414029020000001</v>
      </c>
      <c r="D105" s="3">
        <v>0.42432221199999998</v>
      </c>
      <c r="E105" s="3">
        <v>0.49540293400000002</v>
      </c>
      <c r="F105" s="3">
        <v>12.213217009999999</v>
      </c>
      <c r="G105" s="3">
        <v>6.0523628479999996</v>
      </c>
      <c r="H105" s="3">
        <v>0.469632618</v>
      </c>
      <c r="I105" s="3">
        <v>4.4128853179999998</v>
      </c>
      <c r="J105" s="3">
        <v>6.9001037260000002</v>
      </c>
      <c r="K105" s="3">
        <v>2.6253399989999999</v>
      </c>
      <c r="L105" s="3">
        <v>0.67755538800000004</v>
      </c>
      <c r="M105" s="3">
        <v>0.77174067899999998</v>
      </c>
      <c r="N105" s="3">
        <v>0.340705329</v>
      </c>
      <c r="O105" s="3">
        <v>1.2359940060000001</v>
      </c>
      <c r="P105" s="3">
        <v>10.345809429999999</v>
      </c>
      <c r="Q105" s="3">
        <v>1.969544883</v>
      </c>
      <c r="R105" s="3">
        <v>2.5548404320000002</v>
      </c>
      <c r="S105" s="3">
        <v>47.069140279999999</v>
      </c>
      <c r="T105" s="3">
        <v>22.020346379999999</v>
      </c>
      <c r="U105" s="3">
        <v>16.703369899999998</v>
      </c>
      <c r="V105" s="3">
        <v>61.276283720000002</v>
      </c>
      <c r="W105" s="3">
        <v>57.414949720000003</v>
      </c>
      <c r="X105" s="3">
        <v>3.8613340049999998</v>
      </c>
      <c r="Y105">
        <v>57.414949716666662</v>
      </c>
    </row>
    <row r="106" spans="1:25">
      <c r="A106" t="s">
        <v>116</v>
      </c>
      <c r="B106" t="s">
        <v>63</v>
      </c>
      <c r="C106" s="3">
        <v>1.4414029020000001</v>
      </c>
      <c r="D106" s="3">
        <v>0.42432221199999998</v>
      </c>
      <c r="E106" s="3">
        <v>0.49540293400000002</v>
      </c>
      <c r="F106" s="3">
        <v>12.213217009999999</v>
      </c>
      <c r="G106" s="3">
        <v>6.0523628479999996</v>
      </c>
      <c r="H106" s="3">
        <v>0.469632618</v>
      </c>
      <c r="I106" s="3">
        <v>4.4128853179999998</v>
      </c>
      <c r="J106" s="3">
        <v>6.9001037260000002</v>
      </c>
      <c r="K106" s="3">
        <v>2.6253399989999999</v>
      </c>
      <c r="L106" s="3">
        <v>0.67755538800000004</v>
      </c>
      <c r="M106" s="3">
        <v>0.77174067899999998</v>
      </c>
      <c r="N106" s="3">
        <v>0.340705329</v>
      </c>
      <c r="O106" s="3">
        <v>1.2359940060000001</v>
      </c>
      <c r="P106" s="3">
        <v>10.345809429999999</v>
      </c>
      <c r="Q106" s="3">
        <v>1.969544883</v>
      </c>
      <c r="R106" s="3">
        <v>2.5548404320000002</v>
      </c>
      <c r="S106" s="3">
        <v>47.069140279999999</v>
      </c>
      <c r="T106" s="3">
        <v>22.020346379999999</v>
      </c>
      <c r="U106" s="3">
        <v>16.703369899999998</v>
      </c>
      <c r="V106" s="3">
        <v>61.276283720000002</v>
      </c>
      <c r="W106" s="3">
        <v>57.414949720000003</v>
      </c>
      <c r="X106" s="3">
        <v>3.8613340049999998</v>
      </c>
      <c r="Y106">
        <v>57.414949716666662</v>
      </c>
    </row>
    <row r="107" spans="1:25">
      <c r="A107" t="s">
        <v>117</v>
      </c>
      <c r="B107" t="s">
        <v>118</v>
      </c>
      <c r="C107" s="3">
        <v>1.1736256920000001</v>
      </c>
      <c r="D107" s="3">
        <v>0.34063888399999998</v>
      </c>
      <c r="E107" s="3">
        <v>0.41652767099999999</v>
      </c>
      <c r="F107" s="3">
        <v>11.09236308</v>
      </c>
      <c r="G107" s="3">
        <v>8.4326765609999992</v>
      </c>
      <c r="H107" s="3">
        <v>0.47598360000000001</v>
      </c>
      <c r="I107" s="3">
        <v>4.5691380009999998</v>
      </c>
      <c r="J107" s="3">
        <v>5.4818347010000004</v>
      </c>
      <c r="K107" s="3">
        <v>3.0696735309999998</v>
      </c>
      <c r="L107" s="3">
        <v>0.550463755</v>
      </c>
      <c r="M107" s="3">
        <v>0.93746175799999998</v>
      </c>
      <c r="N107" s="3">
        <v>0.31054485999999998</v>
      </c>
      <c r="O107" s="3">
        <v>0.24891491900000001</v>
      </c>
      <c r="P107" s="3">
        <v>11.46454146</v>
      </c>
      <c r="Q107" s="3">
        <v>1.9140071320000001</v>
      </c>
      <c r="R107" s="3">
        <v>4.4155308880000002</v>
      </c>
      <c r="S107" s="3">
        <v>45.106073510000002</v>
      </c>
      <c r="T107" s="3">
        <v>20.50265379</v>
      </c>
      <c r="U107" s="3">
        <v>19.608142789999999</v>
      </c>
      <c r="V107" s="3">
        <v>59.889203420000001</v>
      </c>
      <c r="W107" s="3">
        <v>56.570614970000001</v>
      </c>
      <c r="X107" s="3">
        <v>3.3185884510000001</v>
      </c>
      <c r="Y107">
        <v>56.57061496666666</v>
      </c>
    </row>
    <row r="108" spans="1:25">
      <c r="A108" t="s">
        <v>119</v>
      </c>
      <c r="B108" t="s">
        <v>118</v>
      </c>
      <c r="C108" s="3">
        <v>1.1736256920000001</v>
      </c>
      <c r="D108" s="3">
        <v>0.34063888399999998</v>
      </c>
      <c r="E108" s="3">
        <v>0.41652767099999999</v>
      </c>
      <c r="F108" s="3">
        <v>11.09236308</v>
      </c>
      <c r="G108" s="3">
        <v>8.4326765609999992</v>
      </c>
      <c r="H108" s="3">
        <v>0.47598360000000001</v>
      </c>
      <c r="I108" s="3">
        <v>4.5691380009999998</v>
      </c>
      <c r="J108" s="3">
        <v>5.4818347010000004</v>
      </c>
      <c r="K108" s="3">
        <v>3.0696735309999998</v>
      </c>
      <c r="L108" s="3">
        <v>0.550463755</v>
      </c>
      <c r="M108" s="3">
        <v>0.93746175799999998</v>
      </c>
      <c r="N108" s="3">
        <v>0.31054485999999998</v>
      </c>
      <c r="O108" s="3">
        <v>0.24891491900000001</v>
      </c>
      <c r="P108" s="3">
        <v>11.46454146</v>
      </c>
      <c r="Q108" s="3">
        <v>1.9140071320000001</v>
      </c>
      <c r="R108" s="3">
        <v>4.4155308880000002</v>
      </c>
      <c r="S108" s="3">
        <v>45.106073510000002</v>
      </c>
      <c r="T108" s="3">
        <v>20.50265379</v>
      </c>
      <c r="U108" s="3">
        <v>19.608142789999999</v>
      </c>
      <c r="V108" s="3">
        <v>59.889203420000001</v>
      </c>
      <c r="W108" s="3">
        <v>56.570614970000001</v>
      </c>
      <c r="X108" s="3">
        <v>3.3185884510000001</v>
      </c>
      <c r="Y108">
        <v>56.57061496666666</v>
      </c>
    </row>
    <row r="109" spans="1:25">
      <c r="A109" t="s">
        <v>120</v>
      </c>
      <c r="B109" t="s">
        <v>118</v>
      </c>
      <c r="C109" s="3">
        <v>1.1736256920000001</v>
      </c>
      <c r="D109" s="3">
        <v>0.34063888399999998</v>
      </c>
      <c r="E109" s="3">
        <v>0.41652767099999999</v>
      </c>
      <c r="F109" s="3">
        <v>11.09236308</v>
      </c>
      <c r="G109" s="3">
        <v>8.4326765609999992</v>
      </c>
      <c r="H109" s="3">
        <v>0.47598360000000001</v>
      </c>
      <c r="I109" s="3">
        <v>4.5691380009999998</v>
      </c>
      <c r="J109" s="3">
        <v>5.4818347010000004</v>
      </c>
      <c r="K109" s="3">
        <v>3.0696735309999998</v>
      </c>
      <c r="L109" s="3">
        <v>0.550463755</v>
      </c>
      <c r="M109" s="3">
        <v>0.93746175799999998</v>
      </c>
      <c r="N109" s="3">
        <v>0.31054485999999998</v>
      </c>
      <c r="O109" s="3">
        <v>0.24891491900000001</v>
      </c>
      <c r="P109" s="3">
        <v>11.46454146</v>
      </c>
      <c r="Q109" s="3">
        <v>1.9140071320000001</v>
      </c>
      <c r="R109" s="3">
        <v>4.4155308880000002</v>
      </c>
      <c r="S109" s="3">
        <v>45.106073510000002</v>
      </c>
      <c r="T109" s="3">
        <v>20.50265379</v>
      </c>
      <c r="U109" s="3">
        <v>19.608142789999999</v>
      </c>
      <c r="V109" s="3">
        <v>59.889203420000001</v>
      </c>
      <c r="W109" s="3">
        <v>56.570614970000001</v>
      </c>
      <c r="X109" s="3">
        <v>3.3185884510000001</v>
      </c>
      <c r="Y109">
        <v>56.57061496666666</v>
      </c>
    </row>
    <row r="110" spans="1:25">
      <c r="A110" t="s">
        <v>121</v>
      </c>
      <c r="B110" t="s">
        <v>118</v>
      </c>
      <c r="C110" s="3">
        <v>1.8039813280000001</v>
      </c>
      <c r="D110" s="3">
        <v>0.47725168600000001</v>
      </c>
      <c r="E110" s="3">
        <v>0.59029650499999997</v>
      </c>
      <c r="F110" s="3">
        <v>13.133349470000001</v>
      </c>
      <c r="G110" s="3">
        <v>10.912834330000001</v>
      </c>
      <c r="H110" s="3">
        <v>0.55912234800000005</v>
      </c>
      <c r="I110" s="3">
        <v>5.2348073519999998</v>
      </c>
      <c r="J110" s="3">
        <v>7.6987506249999997</v>
      </c>
      <c r="K110" s="3">
        <v>3.6240994199999998</v>
      </c>
      <c r="L110" s="3">
        <v>0.79721096800000002</v>
      </c>
      <c r="M110" s="3">
        <v>0.79841615399999999</v>
      </c>
      <c r="N110" s="3">
        <v>0.40078943500000003</v>
      </c>
      <c r="O110" s="3">
        <v>0.20627483899999999</v>
      </c>
      <c r="P110" s="3">
        <v>9.7403600669999992</v>
      </c>
      <c r="Q110" s="3">
        <v>1.7891775940000001</v>
      </c>
      <c r="R110" s="3">
        <v>4.0038154769999998</v>
      </c>
      <c r="S110" s="3">
        <v>38.229462400000003</v>
      </c>
      <c r="T110" s="3">
        <v>24.308734999999999</v>
      </c>
      <c r="U110" s="3">
        <v>23.891068270000002</v>
      </c>
      <c r="V110" s="3">
        <v>51.800196730000003</v>
      </c>
      <c r="W110" s="3">
        <v>47.969822469999997</v>
      </c>
      <c r="X110" s="3">
        <v>3.8303742590000001</v>
      </c>
      <c r="Y110">
        <v>47.969822466666663</v>
      </c>
    </row>
    <row r="111" spans="1:25">
      <c r="A111" t="s">
        <v>122</v>
      </c>
      <c r="B111" t="s">
        <v>118</v>
      </c>
      <c r="C111" s="3">
        <v>1.8039813280000001</v>
      </c>
      <c r="D111" s="3">
        <v>0.47725168600000001</v>
      </c>
      <c r="E111" s="3">
        <v>0.59029650499999997</v>
      </c>
      <c r="F111" s="3">
        <v>13.133349470000001</v>
      </c>
      <c r="G111" s="3">
        <v>10.912834330000001</v>
      </c>
      <c r="H111" s="3">
        <v>0.55912234800000005</v>
      </c>
      <c r="I111" s="3">
        <v>5.2348073519999998</v>
      </c>
      <c r="J111" s="3">
        <v>7.6987506249999997</v>
      </c>
      <c r="K111" s="3">
        <v>3.6240994199999998</v>
      </c>
      <c r="L111" s="3">
        <v>0.79721096800000002</v>
      </c>
      <c r="M111" s="3">
        <v>0.79841615399999999</v>
      </c>
      <c r="N111" s="3">
        <v>0.40078943500000003</v>
      </c>
      <c r="O111" s="3">
        <v>0.20627483899999999</v>
      </c>
      <c r="P111" s="3">
        <v>9.7403600669999992</v>
      </c>
      <c r="Q111" s="3">
        <v>1.7891775940000001</v>
      </c>
      <c r="R111" s="3">
        <v>4.0038154769999998</v>
      </c>
      <c r="S111" s="3">
        <v>38.229462400000003</v>
      </c>
      <c r="T111" s="3">
        <v>24.308734999999999</v>
      </c>
      <c r="U111" s="3">
        <v>23.891068270000002</v>
      </c>
      <c r="V111" s="3">
        <v>51.800196730000003</v>
      </c>
      <c r="W111" s="3">
        <v>47.969822469999997</v>
      </c>
      <c r="X111" s="3">
        <v>3.8303742590000001</v>
      </c>
      <c r="Y111">
        <v>47.969822466666663</v>
      </c>
    </row>
    <row r="112" spans="1:25">
      <c r="A112" t="s">
        <v>123</v>
      </c>
      <c r="B112" t="s">
        <v>118</v>
      </c>
      <c r="C112" s="3">
        <v>1.8039813280000001</v>
      </c>
      <c r="D112" s="3">
        <v>0.47725168600000001</v>
      </c>
      <c r="E112" s="3">
        <v>0.59029650499999997</v>
      </c>
      <c r="F112" s="3">
        <v>13.133349470000001</v>
      </c>
      <c r="G112" s="3">
        <v>10.912834330000001</v>
      </c>
      <c r="H112" s="3">
        <v>0.55912234800000005</v>
      </c>
      <c r="I112" s="3">
        <v>5.2348073519999998</v>
      </c>
      <c r="J112" s="3">
        <v>7.6987506249999997</v>
      </c>
      <c r="K112" s="3">
        <v>3.6240994199999998</v>
      </c>
      <c r="L112" s="3">
        <v>0.79721096800000002</v>
      </c>
      <c r="M112" s="3">
        <v>0.79841615399999999</v>
      </c>
      <c r="N112" s="3">
        <v>0.40078943500000003</v>
      </c>
      <c r="O112" s="3">
        <v>0.20627483899999999</v>
      </c>
      <c r="P112" s="3">
        <v>9.7403600669999992</v>
      </c>
      <c r="Q112" s="3">
        <v>1.7891775940000001</v>
      </c>
      <c r="R112" s="3">
        <v>4.0038154769999998</v>
      </c>
      <c r="S112" s="3">
        <v>38.229462400000003</v>
      </c>
      <c r="T112" s="3">
        <v>24.308734999999999</v>
      </c>
      <c r="U112" s="3">
        <v>23.891068270000002</v>
      </c>
      <c r="V112" s="3">
        <v>51.800196730000003</v>
      </c>
      <c r="W112" s="3">
        <v>47.969822469999997</v>
      </c>
      <c r="X112" s="3">
        <v>3.8303742590000001</v>
      </c>
      <c r="Y112">
        <v>47.969822466666663</v>
      </c>
    </row>
    <row r="113" spans="1:25">
      <c r="A113" t="s">
        <v>124</v>
      </c>
      <c r="B113" t="s">
        <v>118</v>
      </c>
      <c r="C113" s="3">
        <v>2.249799039</v>
      </c>
      <c r="D113" s="3">
        <v>0.69894972700000002</v>
      </c>
      <c r="E113" s="3">
        <v>0.81216566899999998</v>
      </c>
      <c r="F113" s="3">
        <v>12.36056834</v>
      </c>
      <c r="G113" s="3">
        <v>10.40092473</v>
      </c>
      <c r="H113" s="3">
        <v>0.64522365800000003</v>
      </c>
      <c r="I113" s="3">
        <v>5.1792398430000004</v>
      </c>
      <c r="J113" s="3">
        <v>9.1829943170000004</v>
      </c>
      <c r="K113" s="3">
        <v>3.7274806690000002</v>
      </c>
      <c r="L113" s="3">
        <v>1.1807162419999999</v>
      </c>
      <c r="M113" s="3">
        <v>1.7664036780000001</v>
      </c>
      <c r="N113" s="3">
        <v>0.59989724600000005</v>
      </c>
      <c r="O113" s="3">
        <v>0.19703210700000001</v>
      </c>
      <c r="P113" s="3">
        <v>8.9195608770000003</v>
      </c>
      <c r="Q113" s="3">
        <v>1.866861009</v>
      </c>
      <c r="R113" s="3">
        <v>4.4019245769999999</v>
      </c>
      <c r="S113" s="3">
        <v>35.810258279999999</v>
      </c>
      <c r="T113" s="3">
        <v>24.894471039999999</v>
      </c>
      <c r="U113" s="3">
        <v>26.451197029999999</v>
      </c>
      <c r="V113" s="3">
        <v>48.654331929999998</v>
      </c>
      <c r="W113" s="3">
        <v>44.729819149999997</v>
      </c>
      <c r="X113" s="3">
        <v>3.9245127759999998</v>
      </c>
      <c r="Y113">
        <v>44.729819153333331</v>
      </c>
    </row>
    <row r="114" spans="1:25">
      <c r="A114" t="s">
        <v>125</v>
      </c>
      <c r="B114" t="s">
        <v>118</v>
      </c>
      <c r="C114" s="3">
        <v>2.249799039</v>
      </c>
      <c r="D114" s="3">
        <v>0.69894972700000002</v>
      </c>
      <c r="E114" s="3">
        <v>0.81216566899999998</v>
      </c>
      <c r="F114" s="3">
        <v>12.36056834</v>
      </c>
      <c r="G114" s="3">
        <v>10.40092473</v>
      </c>
      <c r="H114" s="3">
        <v>0.64522365800000003</v>
      </c>
      <c r="I114" s="3">
        <v>5.1792398430000004</v>
      </c>
      <c r="J114" s="3">
        <v>9.1829943170000004</v>
      </c>
      <c r="K114" s="3">
        <v>3.7274806690000002</v>
      </c>
      <c r="L114" s="3">
        <v>1.1807162419999999</v>
      </c>
      <c r="M114" s="3">
        <v>1.7664036780000001</v>
      </c>
      <c r="N114" s="3">
        <v>0.59989724600000005</v>
      </c>
      <c r="O114" s="3">
        <v>0.19703210700000001</v>
      </c>
      <c r="P114" s="3">
        <v>8.9195608770000003</v>
      </c>
      <c r="Q114" s="3">
        <v>1.866861009</v>
      </c>
      <c r="R114" s="3">
        <v>4.4019245769999999</v>
      </c>
      <c r="S114" s="3">
        <v>35.810258279999999</v>
      </c>
      <c r="T114" s="3">
        <v>24.894471039999999</v>
      </c>
      <c r="U114" s="3">
        <v>26.451197029999999</v>
      </c>
      <c r="V114" s="3">
        <v>48.654331929999998</v>
      </c>
      <c r="W114" s="3">
        <v>44.729819149999997</v>
      </c>
      <c r="X114" s="3">
        <v>3.9245127759999998</v>
      </c>
      <c r="Y114">
        <v>44.729819153333331</v>
      </c>
    </row>
    <row r="115" spans="1:25">
      <c r="A115" t="s">
        <v>126</v>
      </c>
      <c r="B115" t="s">
        <v>118</v>
      </c>
      <c r="C115" s="3">
        <v>2.249799039</v>
      </c>
      <c r="D115" s="3">
        <v>0.69894972700000002</v>
      </c>
      <c r="E115" s="3">
        <v>0.81216566899999998</v>
      </c>
      <c r="F115" s="3">
        <v>12.36056834</v>
      </c>
      <c r="G115" s="3">
        <v>10.40092473</v>
      </c>
      <c r="H115" s="3">
        <v>0.64522365800000003</v>
      </c>
      <c r="I115" s="3">
        <v>5.1792398430000004</v>
      </c>
      <c r="J115" s="3">
        <v>9.1829943170000004</v>
      </c>
      <c r="K115" s="3">
        <v>3.7274806690000002</v>
      </c>
      <c r="L115" s="3">
        <v>1.1807162419999999</v>
      </c>
      <c r="M115" s="3">
        <v>1.7664036780000001</v>
      </c>
      <c r="N115" s="3">
        <v>0.59989724600000005</v>
      </c>
      <c r="O115" s="3">
        <v>0.19703210700000001</v>
      </c>
      <c r="P115" s="3">
        <v>8.9195608770000003</v>
      </c>
      <c r="Q115" s="3">
        <v>1.866861009</v>
      </c>
      <c r="R115" s="3">
        <v>4.4019245769999999</v>
      </c>
      <c r="S115" s="3">
        <v>35.810258279999999</v>
      </c>
      <c r="T115" s="3">
        <v>24.894471039999999</v>
      </c>
      <c r="U115" s="3">
        <v>26.451197029999999</v>
      </c>
      <c r="V115" s="3">
        <v>48.654331929999998</v>
      </c>
      <c r="W115" s="3">
        <v>44.729819149999997</v>
      </c>
      <c r="X115" s="3">
        <v>3.9245127759999998</v>
      </c>
      <c r="Y115">
        <v>44.729819153333331</v>
      </c>
    </row>
    <row r="116" spans="1:25">
      <c r="A116" t="s">
        <v>127</v>
      </c>
      <c r="B116" t="s">
        <v>118</v>
      </c>
      <c r="C116" s="3">
        <v>2.1272976959999998</v>
      </c>
      <c r="D116" s="3">
        <v>0.46903854299999997</v>
      </c>
      <c r="E116" s="3">
        <v>0.57001482999999997</v>
      </c>
      <c r="F116" s="3">
        <v>12.24221871</v>
      </c>
      <c r="G116" s="3">
        <v>12.73814005</v>
      </c>
      <c r="H116" s="3">
        <v>0.496706117</v>
      </c>
      <c r="I116" s="3">
        <v>4.6540567040000003</v>
      </c>
      <c r="J116" s="3">
        <v>8.7080754000000002</v>
      </c>
      <c r="K116" s="3">
        <v>2.1749603409999998</v>
      </c>
      <c r="L116" s="3">
        <v>0.79135786399999997</v>
      </c>
      <c r="M116" s="3">
        <v>0.59562725400000005</v>
      </c>
      <c r="N116" s="3">
        <v>0.431289749</v>
      </c>
      <c r="O116" s="3">
        <v>0.22697563500000001</v>
      </c>
      <c r="P116" s="3">
        <v>15.701018339999999</v>
      </c>
      <c r="Q116" s="3">
        <v>1.5896618199999999</v>
      </c>
      <c r="R116" s="3">
        <v>3.6979635979999999</v>
      </c>
      <c r="S116" s="3">
        <v>32.785597359999997</v>
      </c>
      <c r="T116" s="3">
        <v>22.90260348</v>
      </c>
      <c r="U116" s="3">
        <v>26.208844840000001</v>
      </c>
      <c r="V116" s="3">
        <v>50.888551669999998</v>
      </c>
      <c r="W116" s="3">
        <v>48.486615700000002</v>
      </c>
      <c r="X116" s="3">
        <v>2.4019359759999999</v>
      </c>
      <c r="Y116">
        <v>48.486615699999987</v>
      </c>
    </row>
    <row r="117" spans="1:25">
      <c r="A117" t="s">
        <v>128</v>
      </c>
      <c r="B117" t="s">
        <v>118</v>
      </c>
      <c r="C117" s="3">
        <v>2.1272976959999998</v>
      </c>
      <c r="D117" s="3">
        <v>0.46903854299999997</v>
      </c>
      <c r="E117" s="3">
        <v>0.57001482999999997</v>
      </c>
      <c r="F117" s="3">
        <v>12.24221871</v>
      </c>
      <c r="G117" s="3">
        <v>12.73814005</v>
      </c>
      <c r="H117" s="3">
        <v>0.496706117</v>
      </c>
      <c r="I117" s="3">
        <v>4.6540567040000003</v>
      </c>
      <c r="J117" s="3">
        <v>8.7080754000000002</v>
      </c>
      <c r="K117" s="3">
        <v>2.1749603409999998</v>
      </c>
      <c r="L117" s="3">
        <v>0.79135786399999997</v>
      </c>
      <c r="M117" s="3">
        <v>0.59562725400000005</v>
      </c>
      <c r="N117" s="3">
        <v>0.431289749</v>
      </c>
      <c r="O117" s="3">
        <v>0.22697563500000001</v>
      </c>
      <c r="P117" s="3">
        <v>15.701018339999999</v>
      </c>
      <c r="Q117" s="3">
        <v>1.5896618199999999</v>
      </c>
      <c r="R117" s="3">
        <v>3.6979635979999999</v>
      </c>
      <c r="S117" s="3">
        <v>32.785597359999997</v>
      </c>
      <c r="T117" s="3">
        <v>22.90260348</v>
      </c>
      <c r="U117" s="3">
        <v>26.208844840000001</v>
      </c>
      <c r="V117" s="3">
        <v>50.888551669999998</v>
      </c>
      <c r="W117" s="3">
        <v>48.486615700000002</v>
      </c>
      <c r="X117" s="3">
        <v>2.4019359759999999</v>
      </c>
      <c r="Y117">
        <v>48.486615699999987</v>
      </c>
    </row>
    <row r="118" spans="1:25">
      <c r="A118" t="s">
        <v>129</v>
      </c>
      <c r="B118" t="s">
        <v>118</v>
      </c>
      <c r="C118" s="3">
        <v>2.1272976959999998</v>
      </c>
      <c r="D118" s="3">
        <v>0.46903854299999997</v>
      </c>
      <c r="E118" s="3">
        <v>0.57001482999999997</v>
      </c>
      <c r="F118" s="3">
        <v>12.24221871</v>
      </c>
      <c r="G118" s="3">
        <v>12.73814005</v>
      </c>
      <c r="H118" s="3">
        <v>0.496706117</v>
      </c>
      <c r="I118" s="3">
        <v>4.6540567040000003</v>
      </c>
      <c r="J118" s="3">
        <v>8.7080754000000002</v>
      </c>
      <c r="K118" s="3">
        <v>2.1749603409999998</v>
      </c>
      <c r="L118" s="3">
        <v>0.79135786399999997</v>
      </c>
      <c r="M118" s="3">
        <v>0.59562725400000005</v>
      </c>
      <c r="N118" s="3">
        <v>0.431289749</v>
      </c>
      <c r="O118" s="3">
        <v>0.22697563500000001</v>
      </c>
      <c r="P118" s="3">
        <v>15.701018339999999</v>
      </c>
      <c r="Q118" s="3">
        <v>1.5896618199999999</v>
      </c>
      <c r="R118" s="3">
        <v>3.6979635979999999</v>
      </c>
      <c r="S118" s="3">
        <v>32.785597359999997</v>
      </c>
      <c r="T118" s="3">
        <v>22.90260348</v>
      </c>
      <c r="U118" s="3">
        <v>26.208844840000001</v>
      </c>
      <c r="V118" s="3">
        <v>50.888551669999998</v>
      </c>
      <c r="W118" s="3">
        <v>48.486615700000002</v>
      </c>
      <c r="X118" s="3">
        <v>2.4019359759999999</v>
      </c>
      <c r="Y118">
        <v>48.486615699999987</v>
      </c>
    </row>
    <row r="119" spans="1:25">
      <c r="A119" t="s">
        <v>130</v>
      </c>
      <c r="B119" t="s">
        <v>118</v>
      </c>
      <c r="C119" s="3">
        <v>1.9514807300000001</v>
      </c>
      <c r="D119" s="3">
        <v>0.365436435</v>
      </c>
      <c r="E119" s="3">
        <v>0.46872689000000001</v>
      </c>
      <c r="F119" s="3">
        <v>13.63001955</v>
      </c>
      <c r="G119" s="3">
        <v>13.35423173</v>
      </c>
      <c r="H119" s="3">
        <v>0.42689757699999997</v>
      </c>
      <c r="I119" s="3">
        <v>4.7860603910000004</v>
      </c>
      <c r="J119" s="3">
        <v>7.2800094040000003</v>
      </c>
      <c r="K119" s="3">
        <v>2.0809977590000002</v>
      </c>
      <c r="L119" s="3">
        <v>0.64654422700000003</v>
      </c>
      <c r="M119" s="3">
        <v>0.67858300100000002</v>
      </c>
      <c r="N119" s="3">
        <v>0.354165216</v>
      </c>
      <c r="O119" s="3">
        <v>0.18780390899999999</v>
      </c>
      <c r="P119" s="3">
        <v>18.27414619</v>
      </c>
      <c r="Q119" s="3">
        <v>1.016931678</v>
      </c>
      <c r="R119" s="3">
        <v>3.2212882559999998</v>
      </c>
      <c r="S119" s="3">
        <v>31.276677060000001</v>
      </c>
      <c r="T119" s="3">
        <v>23.28082625</v>
      </c>
      <c r="U119" s="3">
        <v>24.89954882</v>
      </c>
      <c r="V119" s="3">
        <v>51.819624920000003</v>
      </c>
      <c r="W119" s="3">
        <v>49.550823250000001</v>
      </c>
      <c r="X119" s="3">
        <v>2.268801668</v>
      </c>
      <c r="Y119">
        <v>49.550823250000001</v>
      </c>
    </row>
    <row r="120" spans="1:25">
      <c r="A120" t="s">
        <v>131</v>
      </c>
      <c r="B120" t="s">
        <v>118</v>
      </c>
      <c r="C120" s="3">
        <v>1.9514807300000001</v>
      </c>
      <c r="D120" s="3">
        <v>0.365436435</v>
      </c>
      <c r="E120" s="3">
        <v>0.46872689000000001</v>
      </c>
      <c r="F120" s="3">
        <v>13.63001955</v>
      </c>
      <c r="G120" s="3">
        <v>13.35423173</v>
      </c>
      <c r="H120" s="3">
        <v>0.42689757699999997</v>
      </c>
      <c r="I120" s="3">
        <v>4.7860603910000004</v>
      </c>
      <c r="J120" s="3">
        <v>7.2800094040000003</v>
      </c>
      <c r="K120" s="3">
        <v>2.0809977590000002</v>
      </c>
      <c r="L120" s="3">
        <v>0.64654422700000003</v>
      </c>
      <c r="M120" s="3">
        <v>0.67858300100000002</v>
      </c>
      <c r="N120" s="3">
        <v>0.354165216</v>
      </c>
      <c r="O120" s="3">
        <v>0.18780390899999999</v>
      </c>
      <c r="P120" s="3">
        <v>18.27414619</v>
      </c>
      <c r="Q120" s="3">
        <v>1.016931678</v>
      </c>
      <c r="R120" s="3">
        <v>3.2212882559999998</v>
      </c>
      <c r="S120" s="3">
        <v>31.276677060000001</v>
      </c>
      <c r="T120" s="3">
        <v>23.28082625</v>
      </c>
      <c r="U120" s="3">
        <v>24.89954882</v>
      </c>
      <c r="V120" s="3">
        <v>51.819624920000003</v>
      </c>
      <c r="W120" s="3">
        <v>49.550823250000001</v>
      </c>
      <c r="X120" s="3">
        <v>2.268801668</v>
      </c>
      <c r="Y120">
        <v>49.550823250000001</v>
      </c>
    </row>
    <row r="121" spans="1:25">
      <c r="A121" t="s">
        <v>132</v>
      </c>
      <c r="B121" t="s">
        <v>118</v>
      </c>
      <c r="C121" s="3">
        <v>1.9514807300000001</v>
      </c>
      <c r="D121" s="3">
        <v>0.365436435</v>
      </c>
      <c r="E121" s="3">
        <v>0.46872689000000001</v>
      </c>
      <c r="F121" s="3">
        <v>13.63001955</v>
      </c>
      <c r="G121" s="3">
        <v>13.35423173</v>
      </c>
      <c r="H121" s="3">
        <v>0.42689757699999997</v>
      </c>
      <c r="I121" s="3">
        <v>4.7860603910000004</v>
      </c>
      <c r="J121" s="3">
        <v>7.2800094040000003</v>
      </c>
      <c r="K121" s="3">
        <v>2.0809977590000002</v>
      </c>
      <c r="L121" s="3">
        <v>0.64654422700000003</v>
      </c>
      <c r="M121" s="3">
        <v>0.67858300100000002</v>
      </c>
      <c r="N121" s="3">
        <v>0.354165216</v>
      </c>
      <c r="O121" s="3">
        <v>0.18780390899999999</v>
      </c>
      <c r="P121" s="3">
        <v>18.27414619</v>
      </c>
      <c r="Q121" s="3">
        <v>1.016931678</v>
      </c>
      <c r="R121" s="3">
        <v>3.2212882559999998</v>
      </c>
      <c r="S121" s="3">
        <v>31.276677060000001</v>
      </c>
      <c r="T121" s="3">
        <v>23.28082625</v>
      </c>
      <c r="U121" s="3">
        <v>24.89954882</v>
      </c>
      <c r="V121" s="3">
        <v>51.819624920000003</v>
      </c>
      <c r="W121" s="3">
        <v>49.550823250000001</v>
      </c>
      <c r="X121" s="3">
        <v>2.268801668</v>
      </c>
      <c r="Y121">
        <v>49.550823250000001</v>
      </c>
    </row>
    <row r="122" spans="1:25">
      <c r="A122" t="s">
        <v>133</v>
      </c>
      <c r="B122" t="s">
        <v>118</v>
      </c>
      <c r="C122" s="3">
        <v>2.4807044239999998</v>
      </c>
      <c r="D122" s="3">
        <v>0.66220487100000003</v>
      </c>
      <c r="E122" s="3">
        <v>0.77983802499999999</v>
      </c>
      <c r="F122" s="3">
        <v>12.17567895</v>
      </c>
      <c r="G122" s="3">
        <v>13.70974799</v>
      </c>
      <c r="H122" s="3">
        <v>0.53006488900000004</v>
      </c>
      <c r="I122" s="3">
        <v>5.2056287289999998</v>
      </c>
      <c r="J122" s="3">
        <v>8.5344781879999996</v>
      </c>
      <c r="K122" s="3">
        <v>0.98668758499999998</v>
      </c>
      <c r="L122" s="3">
        <v>1.129485531</v>
      </c>
      <c r="M122" s="3">
        <v>0.879554116</v>
      </c>
      <c r="N122" s="3">
        <v>0.61962555200000002</v>
      </c>
      <c r="O122" s="3">
        <v>0.25298150000000003</v>
      </c>
      <c r="P122" s="3">
        <v>18.293197289999998</v>
      </c>
      <c r="Q122" s="3">
        <v>3.1187767549999998</v>
      </c>
      <c r="R122" s="3">
        <v>3.871537725</v>
      </c>
      <c r="S122" s="3">
        <v>28.888942879999998</v>
      </c>
      <c r="T122" s="3">
        <v>25.833261</v>
      </c>
      <c r="U122" s="3">
        <v>26.073825599999999</v>
      </c>
      <c r="V122" s="3">
        <v>48.09291339</v>
      </c>
      <c r="W122" s="3">
        <v>47.182140169999997</v>
      </c>
      <c r="X122" s="3">
        <v>0.91077322299999997</v>
      </c>
      <c r="Y122">
        <v>47.18214016666667</v>
      </c>
    </row>
    <row r="123" spans="1:25">
      <c r="A123" t="s">
        <v>134</v>
      </c>
      <c r="B123" t="s">
        <v>118</v>
      </c>
      <c r="C123" s="3">
        <v>2.4807044239999998</v>
      </c>
      <c r="D123" s="3">
        <v>0.66220487100000003</v>
      </c>
      <c r="E123" s="3">
        <v>0.77983802499999999</v>
      </c>
      <c r="F123" s="3">
        <v>12.17567895</v>
      </c>
      <c r="G123" s="3">
        <v>13.70974799</v>
      </c>
      <c r="H123" s="3">
        <v>0.53006488900000004</v>
      </c>
      <c r="I123" s="3">
        <v>5.2056287289999998</v>
      </c>
      <c r="J123" s="3">
        <v>8.5344781879999996</v>
      </c>
      <c r="K123" s="3">
        <v>0.98668758499999998</v>
      </c>
      <c r="L123" s="3">
        <v>1.129485531</v>
      </c>
      <c r="M123" s="3">
        <v>0.879554116</v>
      </c>
      <c r="N123" s="3">
        <v>0.61962555200000002</v>
      </c>
      <c r="O123" s="3">
        <v>0.25298150000000003</v>
      </c>
      <c r="P123" s="3">
        <v>18.293197289999998</v>
      </c>
      <c r="Q123" s="3">
        <v>3.1187767549999998</v>
      </c>
      <c r="R123" s="3">
        <v>3.871537725</v>
      </c>
      <c r="S123" s="3">
        <v>28.888942879999998</v>
      </c>
      <c r="T123" s="3">
        <v>25.833261</v>
      </c>
      <c r="U123" s="3">
        <v>26.073825599999999</v>
      </c>
      <c r="V123" s="3">
        <v>48.09291339</v>
      </c>
      <c r="W123" s="3">
        <v>47.182140169999997</v>
      </c>
      <c r="X123" s="3">
        <v>0.91077322299999997</v>
      </c>
      <c r="Y123">
        <v>47.18214016666667</v>
      </c>
    </row>
    <row r="124" spans="1:25">
      <c r="A124" t="s">
        <v>135</v>
      </c>
      <c r="B124" t="s">
        <v>118</v>
      </c>
      <c r="C124" s="3">
        <v>2.4807044239999998</v>
      </c>
      <c r="D124" s="3">
        <v>0.66220487100000003</v>
      </c>
      <c r="E124" s="3">
        <v>0.77983802499999999</v>
      </c>
      <c r="F124" s="3">
        <v>12.17567895</v>
      </c>
      <c r="G124" s="3">
        <v>13.70974799</v>
      </c>
      <c r="H124" s="3">
        <v>0.53006488900000004</v>
      </c>
      <c r="I124" s="3">
        <v>5.2056287289999998</v>
      </c>
      <c r="J124" s="3">
        <v>8.5344781879999996</v>
      </c>
      <c r="K124" s="3">
        <v>0.98668758499999998</v>
      </c>
      <c r="L124" s="3">
        <v>1.129485531</v>
      </c>
      <c r="M124" s="3">
        <v>0.879554116</v>
      </c>
      <c r="N124" s="3">
        <v>0.61962555200000002</v>
      </c>
      <c r="O124" s="3">
        <v>0.25298150000000003</v>
      </c>
      <c r="P124" s="3">
        <v>18.293197289999998</v>
      </c>
      <c r="Q124" s="3">
        <v>3.1187767549999998</v>
      </c>
      <c r="R124" s="3">
        <v>3.871537725</v>
      </c>
      <c r="S124" s="3">
        <v>28.888942879999998</v>
      </c>
      <c r="T124" s="3">
        <v>25.833261</v>
      </c>
      <c r="U124" s="3">
        <v>26.073825599999999</v>
      </c>
      <c r="V124" s="3">
        <v>48.09291339</v>
      </c>
      <c r="W124" s="3">
        <v>47.182140169999997</v>
      </c>
      <c r="X124" s="3">
        <v>0.91077322299999997</v>
      </c>
      <c r="Y124">
        <v>47.18214016666667</v>
      </c>
    </row>
    <row r="125" spans="1:25">
      <c r="A125" t="s">
        <v>136</v>
      </c>
      <c r="B125" t="s">
        <v>118</v>
      </c>
      <c r="C125" s="3">
        <v>1.476506847</v>
      </c>
      <c r="D125" s="3">
        <v>0.36814375300000002</v>
      </c>
      <c r="E125" s="3">
        <v>0.45261523999999997</v>
      </c>
      <c r="F125" s="3">
        <v>11.55408222</v>
      </c>
      <c r="G125" s="3">
        <v>9.1323470029999996</v>
      </c>
      <c r="H125" s="3">
        <v>0.36612424700000001</v>
      </c>
      <c r="I125" s="3">
        <v>4.3587406230000001</v>
      </c>
      <c r="J125" s="3">
        <v>6.906739677</v>
      </c>
      <c r="K125" s="3">
        <v>1.1758123069999999</v>
      </c>
      <c r="L125" s="3">
        <v>0.64013023300000005</v>
      </c>
      <c r="M125" s="3">
        <v>1.0583652219999999</v>
      </c>
      <c r="N125" s="3">
        <v>0.37287065400000002</v>
      </c>
      <c r="O125" s="3">
        <v>0.28228268200000001</v>
      </c>
      <c r="P125" s="3">
        <v>20.179571459999998</v>
      </c>
      <c r="Q125" s="3">
        <v>1.525848461</v>
      </c>
      <c r="R125" s="3">
        <v>3.83340996</v>
      </c>
      <c r="S125" s="3">
        <v>36.316409419999999</v>
      </c>
      <c r="T125" s="3">
        <v>20.746918520000001</v>
      </c>
      <c r="U125" s="3">
        <v>21.299005609999998</v>
      </c>
      <c r="V125" s="3">
        <v>57.954075860000003</v>
      </c>
      <c r="W125" s="3">
        <v>56.495980869999997</v>
      </c>
      <c r="X125" s="3">
        <v>1.458094988</v>
      </c>
      <c r="Y125">
        <v>56.495980873333338</v>
      </c>
    </row>
    <row r="126" spans="1:25">
      <c r="A126" t="s">
        <v>137</v>
      </c>
      <c r="B126" t="s">
        <v>118</v>
      </c>
      <c r="C126" s="3">
        <v>1.476506847</v>
      </c>
      <c r="D126" s="3">
        <v>0.36814375300000002</v>
      </c>
      <c r="E126" s="3">
        <v>0.45261523999999997</v>
      </c>
      <c r="F126" s="3">
        <v>11.55408222</v>
      </c>
      <c r="G126" s="3">
        <v>9.1323470029999996</v>
      </c>
      <c r="H126" s="3">
        <v>0.36612424700000001</v>
      </c>
      <c r="I126" s="3">
        <v>4.3587406230000001</v>
      </c>
      <c r="J126" s="3">
        <v>6.906739677</v>
      </c>
      <c r="K126" s="3">
        <v>1.1758123069999999</v>
      </c>
      <c r="L126" s="3">
        <v>0.64013023300000005</v>
      </c>
      <c r="M126" s="3">
        <v>1.0583652219999999</v>
      </c>
      <c r="N126" s="3">
        <v>0.37287065400000002</v>
      </c>
      <c r="O126" s="3">
        <v>0.28228268200000001</v>
      </c>
      <c r="P126" s="3">
        <v>20.179571459999998</v>
      </c>
      <c r="Q126" s="3">
        <v>1.525848461</v>
      </c>
      <c r="R126" s="3">
        <v>3.83340996</v>
      </c>
      <c r="S126" s="3">
        <v>36.316409419999999</v>
      </c>
      <c r="T126" s="3">
        <v>20.746918520000001</v>
      </c>
      <c r="U126" s="3">
        <v>21.299005609999998</v>
      </c>
      <c r="V126" s="3">
        <v>57.954075860000003</v>
      </c>
      <c r="W126" s="3">
        <v>56.495980869999997</v>
      </c>
      <c r="X126" s="3">
        <v>1.458094988</v>
      </c>
      <c r="Y126">
        <v>56.495980873333338</v>
      </c>
    </row>
    <row r="127" spans="1:25">
      <c r="A127" t="s">
        <v>138</v>
      </c>
      <c r="B127" t="s">
        <v>118</v>
      </c>
      <c r="C127" s="3">
        <v>1.476506847</v>
      </c>
      <c r="D127" s="3">
        <v>0.36814375300000002</v>
      </c>
      <c r="E127" s="3">
        <v>0.45261523999999997</v>
      </c>
      <c r="F127" s="3">
        <v>11.55408222</v>
      </c>
      <c r="G127" s="3">
        <v>9.1323470029999996</v>
      </c>
      <c r="H127" s="3">
        <v>0.36612424700000001</v>
      </c>
      <c r="I127" s="3">
        <v>4.3587406230000001</v>
      </c>
      <c r="J127" s="3">
        <v>6.906739677</v>
      </c>
      <c r="K127" s="3">
        <v>1.1758123069999999</v>
      </c>
      <c r="L127" s="3">
        <v>0.64013023300000005</v>
      </c>
      <c r="M127" s="3">
        <v>1.0583652219999999</v>
      </c>
      <c r="N127" s="3">
        <v>0.37287065400000002</v>
      </c>
      <c r="O127" s="3">
        <v>0.28228268200000001</v>
      </c>
      <c r="P127" s="3">
        <v>20.179571459999998</v>
      </c>
      <c r="Q127" s="3">
        <v>1.525848461</v>
      </c>
      <c r="R127" s="3">
        <v>3.83340996</v>
      </c>
      <c r="S127" s="3">
        <v>36.316409419999999</v>
      </c>
      <c r="T127" s="3">
        <v>20.746918520000001</v>
      </c>
      <c r="U127" s="3">
        <v>21.299005609999998</v>
      </c>
      <c r="V127" s="3">
        <v>57.954075860000003</v>
      </c>
      <c r="W127" s="3">
        <v>56.495980869999997</v>
      </c>
      <c r="X127" s="3">
        <v>1.458094988</v>
      </c>
      <c r="Y127">
        <v>56.495980873333338</v>
      </c>
    </row>
    <row r="128" spans="1:25">
      <c r="A128" t="s">
        <v>139</v>
      </c>
      <c r="B128" t="s">
        <v>118</v>
      </c>
      <c r="C128" s="3">
        <v>2.0241658359999999</v>
      </c>
      <c r="D128" s="3">
        <v>0.50728811799999995</v>
      </c>
      <c r="E128" s="3">
        <v>0.60382296400000002</v>
      </c>
      <c r="F128" s="3">
        <v>11.195969399999999</v>
      </c>
      <c r="G128" s="3">
        <v>14.22571612</v>
      </c>
      <c r="H128" s="3">
        <v>0.45446861500000002</v>
      </c>
      <c r="I128" s="3">
        <v>4.9123897349999996</v>
      </c>
      <c r="J128" s="3">
        <v>7.3927191790000002</v>
      </c>
      <c r="K128" s="3">
        <v>0.49817261200000001</v>
      </c>
      <c r="L128" s="3">
        <v>0.89207978099999996</v>
      </c>
      <c r="M128" s="3">
        <v>2.4233576700000001</v>
      </c>
      <c r="N128" s="3">
        <v>0.472664429</v>
      </c>
      <c r="O128" s="3">
        <v>0.30100046800000002</v>
      </c>
      <c r="P128" s="3">
        <v>23.437424020000002</v>
      </c>
      <c r="Q128" s="3">
        <v>1.4206179999999999</v>
      </c>
      <c r="R128" s="3">
        <v>3.4362640369999999</v>
      </c>
      <c r="S128" s="3">
        <v>25.967936550000001</v>
      </c>
      <c r="T128" s="3">
        <v>21.97617876</v>
      </c>
      <c r="U128" s="3">
        <v>27.985345120000002</v>
      </c>
      <c r="V128" s="3">
        <v>50.038476119999999</v>
      </c>
      <c r="W128" s="3">
        <v>49.40536058</v>
      </c>
      <c r="X128" s="3">
        <v>0.63311554199999998</v>
      </c>
      <c r="Y128">
        <v>49.405360576666673</v>
      </c>
    </row>
    <row r="129" spans="1:25">
      <c r="A129" t="s">
        <v>140</v>
      </c>
      <c r="B129" t="s">
        <v>118</v>
      </c>
      <c r="C129" s="3">
        <v>2.0241658359999999</v>
      </c>
      <c r="D129" s="3">
        <v>0.50728811799999995</v>
      </c>
      <c r="E129" s="3">
        <v>0.60382296400000002</v>
      </c>
      <c r="F129" s="3">
        <v>11.195969399999999</v>
      </c>
      <c r="G129" s="3">
        <v>14.22571612</v>
      </c>
      <c r="H129" s="3">
        <v>0.45446861500000002</v>
      </c>
      <c r="I129" s="3">
        <v>4.9123897349999996</v>
      </c>
      <c r="J129" s="3">
        <v>7.3927191790000002</v>
      </c>
      <c r="K129" s="3">
        <v>0.49817261200000001</v>
      </c>
      <c r="L129" s="3">
        <v>0.89207978099999996</v>
      </c>
      <c r="M129" s="3">
        <v>2.4233576700000001</v>
      </c>
      <c r="N129" s="3">
        <v>0.472664429</v>
      </c>
      <c r="O129" s="3">
        <v>0.30100046800000002</v>
      </c>
      <c r="P129" s="3">
        <v>23.437424020000002</v>
      </c>
      <c r="Q129" s="3">
        <v>1.4206179999999999</v>
      </c>
      <c r="R129" s="3">
        <v>3.4362640369999999</v>
      </c>
      <c r="S129" s="3">
        <v>25.967936550000001</v>
      </c>
      <c r="T129" s="3">
        <v>21.97617876</v>
      </c>
      <c r="U129" s="3">
        <v>27.985345120000002</v>
      </c>
      <c r="V129" s="3">
        <v>50.038476119999999</v>
      </c>
      <c r="W129" s="3">
        <v>49.40536058</v>
      </c>
      <c r="X129" s="3">
        <v>0.63311554199999998</v>
      </c>
      <c r="Y129">
        <v>49.405360576666673</v>
      </c>
    </row>
    <row r="130" spans="1:25">
      <c r="A130" t="s">
        <v>141</v>
      </c>
      <c r="B130" t="s">
        <v>118</v>
      </c>
      <c r="C130" s="3">
        <v>2.0241658359999999</v>
      </c>
      <c r="D130" s="3">
        <v>0.50728811799999995</v>
      </c>
      <c r="E130" s="3">
        <v>0.60382296400000002</v>
      </c>
      <c r="F130" s="3">
        <v>11.195969399999999</v>
      </c>
      <c r="G130" s="3">
        <v>14.22571612</v>
      </c>
      <c r="H130" s="3">
        <v>0.45446861500000002</v>
      </c>
      <c r="I130" s="3">
        <v>4.9123897349999996</v>
      </c>
      <c r="J130" s="3">
        <v>7.3927191790000002</v>
      </c>
      <c r="K130" s="3">
        <v>0.49817261200000001</v>
      </c>
      <c r="L130" s="3">
        <v>0.89207978099999996</v>
      </c>
      <c r="M130" s="3">
        <v>2.4233576700000001</v>
      </c>
      <c r="N130" s="3">
        <v>0.472664429</v>
      </c>
      <c r="O130" s="3">
        <v>0.30100046800000002</v>
      </c>
      <c r="P130" s="3">
        <v>23.437424020000002</v>
      </c>
      <c r="Q130" s="3">
        <v>1.4206179999999999</v>
      </c>
      <c r="R130" s="3">
        <v>3.4362640369999999</v>
      </c>
      <c r="S130" s="3">
        <v>25.967936550000001</v>
      </c>
      <c r="T130" s="3">
        <v>21.97617876</v>
      </c>
      <c r="U130" s="3">
        <v>27.985345120000002</v>
      </c>
      <c r="V130" s="3">
        <v>50.038476119999999</v>
      </c>
      <c r="W130" s="3">
        <v>49.40536058</v>
      </c>
      <c r="X130" s="3">
        <v>0.63311554199999998</v>
      </c>
      <c r="Y130">
        <v>49.405360576666673</v>
      </c>
    </row>
    <row r="131" spans="1:25">
      <c r="A131" t="s">
        <v>142</v>
      </c>
      <c r="B131" t="s">
        <v>118</v>
      </c>
      <c r="C131" s="3">
        <v>1.3698552159999999</v>
      </c>
      <c r="D131" s="3">
        <v>0.31059699099999999</v>
      </c>
      <c r="E131" s="3">
        <v>0.38315216299999999</v>
      </c>
      <c r="F131" s="3">
        <v>11.122738460000001</v>
      </c>
      <c r="G131" s="3">
        <v>9.63115071</v>
      </c>
      <c r="H131" s="3">
        <v>0.34130508500000001</v>
      </c>
      <c r="I131" s="3">
        <v>4.0289948119999996</v>
      </c>
      <c r="J131" s="3">
        <v>7.0105677689999997</v>
      </c>
      <c r="K131" s="3">
        <v>1.3594423099999999</v>
      </c>
      <c r="L131" s="3">
        <v>0.536101418</v>
      </c>
      <c r="M131" s="3">
        <v>0.708050658</v>
      </c>
      <c r="N131" s="3">
        <v>0.30963068900000001</v>
      </c>
      <c r="O131" s="3">
        <v>0.28458234100000002</v>
      </c>
      <c r="P131" s="3">
        <v>21.108335329999999</v>
      </c>
      <c r="Q131" s="3">
        <v>1.4023971200000001</v>
      </c>
      <c r="R131" s="3">
        <v>4.0087397539999996</v>
      </c>
      <c r="S131" s="3">
        <v>36.08435918</v>
      </c>
      <c r="T131" s="3">
        <v>19.49417497</v>
      </c>
      <c r="U131" s="3">
        <v>21.66910588</v>
      </c>
      <c r="V131" s="3">
        <v>58.83671915</v>
      </c>
      <c r="W131" s="3">
        <v>57.192694500000002</v>
      </c>
      <c r="X131" s="3">
        <v>1.6440246510000001</v>
      </c>
      <c r="Y131">
        <v>57.192694499999988</v>
      </c>
    </row>
    <row r="132" spans="1:25">
      <c r="A132" t="s">
        <v>143</v>
      </c>
      <c r="B132" t="s">
        <v>118</v>
      </c>
      <c r="C132" s="3">
        <v>1.3698552159999999</v>
      </c>
      <c r="D132" s="3">
        <v>0.31059699099999999</v>
      </c>
      <c r="E132" s="3">
        <v>0.38315216299999999</v>
      </c>
      <c r="F132" s="3">
        <v>11.122738460000001</v>
      </c>
      <c r="G132" s="3">
        <v>9.63115071</v>
      </c>
      <c r="H132" s="3">
        <v>0.34130508500000001</v>
      </c>
      <c r="I132" s="3">
        <v>4.0289948119999996</v>
      </c>
      <c r="J132" s="3">
        <v>7.0105677689999997</v>
      </c>
      <c r="K132" s="3">
        <v>1.3594423099999999</v>
      </c>
      <c r="L132" s="3">
        <v>0.536101418</v>
      </c>
      <c r="M132" s="3">
        <v>0.708050658</v>
      </c>
      <c r="N132" s="3">
        <v>0.30963068900000001</v>
      </c>
      <c r="O132" s="3">
        <v>0.28458234100000002</v>
      </c>
      <c r="P132" s="3">
        <v>21.108335329999999</v>
      </c>
      <c r="Q132" s="3">
        <v>1.4023971200000001</v>
      </c>
      <c r="R132" s="3">
        <v>4.0087397539999996</v>
      </c>
      <c r="S132" s="3">
        <v>36.08435918</v>
      </c>
      <c r="T132" s="3">
        <v>19.49417497</v>
      </c>
      <c r="U132" s="3">
        <v>21.66910588</v>
      </c>
      <c r="V132" s="3">
        <v>58.83671915</v>
      </c>
      <c r="W132" s="3">
        <v>57.192694500000002</v>
      </c>
      <c r="X132" s="3">
        <v>1.6440246510000001</v>
      </c>
      <c r="Y132">
        <v>57.192694499999988</v>
      </c>
    </row>
    <row r="133" spans="1:25">
      <c r="A133" t="s">
        <v>144</v>
      </c>
      <c r="B133" t="s">
        <v>118</v>
      </c>
      <c r="C133" s="3">
        <v>1.3698552159999999</v>
      </c>
      <c r="D133" s="3">
        <v>0.31059699099999999</v>
      </c>
      <c r="E133" s="3">
        <v>0.38315216299999999</v>
      </c>
      <c r="F133" s="3">
        <v>11.122738460000001</v>
      </c>
      <c r="G133" s="3">
        <v>9.63115071</v>
      </c>
      <c r="H133" s="3">
        <v>0.34130508500000001</v>
      </c>
      <c r="I133" s="3">
        <v>4.0289948119999996</v>
      </c>
      <c r="J133" s="3">
        <v>7.0105677689999997</v>
      </c>
      <c r="K133" s="3">
        <v>1.3594423099999999</v>
      </c>
      <c r="L133" s="3">
        <v>0.536101418</v>
      </c>
      <c r="M133" s="3">
        <v>0.708050658</v>
      </c>
      <c r="N133" s="3">
        <v>0.30963068900000001</v>
      </c>
      <c r="O133" s="3">
        <v>0.28458234100000002</v>
      </c>
      <c r="P133" s="3">
        <v>21.108335329999999</v>
      </c>
      <c r="Q133" s="3">
        <v>1.4023971200000001</v>
      </c>
      <c r="R133" s="3">
        <v>4.0087397539999996</v>
      </c>
      <c r="S133" s="3">
        <v>36.08435918</v>
      </c>
      <c r="T133" s="3">
        <v>19.49417497</v>
      </c>
      <c r="U133" s="3">
        <v>21.66910588</v>
      </c>
      <c r="V133" s="3">
        <v>58.83671915</v>
      </c>
      <c r="W133" s="3">
        <v>57.192694500000002</v>
      </c>
      <c r="X133" s="3">
        <v>1.6440246510000001</v>
      </c>
      <c r="Y133">
        <v>57.192694499999988</v>
      </c>
    </row>
    <row r="134" spans="1:25">
      <c r="A134" t="s">
        <v>145</v>
      </c>
      <c r="B134" t="s">
        <v>118</v>
      </c>
      <c r="C134" s="3">
        <v>2.6593008239999998</v>
      </c>
      <c r="D134" s="3">
        <v>0.58277752100000002</v>
      </c>
      <c r="E134" s="3">
        <v>0.814015724</v>
      </c>
      <c r="F134" s="3">
        <v>13.38962712</v>
      </c>
      <c r="G134" s="3">
        <v>13.522165490000001</v>
      </c>
      <c r="H134" s="3">
        <v>0.52410328799999994</v>
      </c>
      <c r="I134" s="3">
        <v>5.524644876</v>
      </c>
      <c r="J134" s="3">
        <v>7.8159341180000004</v>
      </c>
      <c r="K134" s="3">
        <v>0.75825059299999997</v>
      </c>
      <c r="L134" s="3">
        <v>1.2326453610000001</v>
      </c>
      <c r="M134" s="3">
        <v>2.455236824</v>
      </c>
      <c r="N134" s="3">
        <v>0.63848974999999997</v>
      </c>
      <c r="O134" s="3">
        <v>2.5344025769999998</v>
      </c>
      <c r="P134" s="3">
        <v>18.41484582</v>
      </c>
      <c r="Q134" s="3">
        <v>1.627654803</v>
      </c>
      <c r="R134" s="3">
        <v>2.0414979340000001</v>
      </c>
      <c r="S134" s="3">
        <v>26.671337990000001</v>
      </c>
      <c r="T134" s="3">
        <v>26.410481740000002</v>
      </c>
      <c r="U134" s="3">
        <v>25.210681269999998</v>
      </c>
      <c r="V134" s="3">
        <v>48.378836990000003</v>
      </c>
      <c r="W134" s="3">
        <v>45.086183820000002</v>
      </c>
      <c r="X134" s="3">
        <v>3.2926531699999999</v>
      </c>
      <c r="Y134">
        <v>45.086183820000002</v>
      </c>
    </row>
    <row r="135" spans="1:25">
      <c r="A135" t="s">
        <v>146</v>
      </c>
      <c r="B135" t="s">
        <v>118</v>
      </c>
      <c r="C135" s="3">
        <v>2.6593008239999998</v>
      </c>
      <c r="D135" s="3">
        <v>0.58277752100000002</v>
      </c>
      <c r="E135" s="3">
        <v>0.814015724</v>
      </c>
      <c r="F135" s="3">
        <v>13.38962712</v>
      </c>
      <c r="G135" s="3">
        <v>13.522165490000001</v>
      </c>
      <c r="H135" s="3">
        <v>0.52410328799999994</v>
      </c>
      <c r="I135" s="3">
        <v>5.524644876</v>
      </c>
      <c r="J135" s="3">
        <v>7.8159341180000004</v>
      </c>
      <c r="K135" s="3">
        <v>0.75825059299999997</v>
      </c>
      <c r="L135" s="3">
        <v>1.2326453610000001</v>
      </c>
      <c r="M135" s="3">
        <v>2.455236824</v>
      </c>
      <c r="N135" s="3">
        <v>0.63848974999999997</v>
      </c>
      <c r="O135" s="3">
        <v>2.5344025769999998</v>
      </c>
      <c r="P135" s="3">
        <v>18.41484582</v>
      </c>
      <c r="Q135" s="3">
        <v>1.627654803</v>
      </c>
      <c r="R135" s="3">
        <v>2.0414979340000001</v>
      </c>
      <c r="S135" s="3">
        <v>26.671337990000001</v>
      </c>
      <c r="T135" s="3">
        <v>26.410481740000002</v>
      </c>
      <c r="U135" s="3">
        <v>25.210681269999998</v>
      </c>
      <c r="V135" s="3">
        <v>48.378836990000003</v>
      </c>
      <c r="W135" s="3">
        <v>45.086183820000002</v>
      </c>
      <c r="X135" s="3">
        <v>3.2926531699999999</v>
      </c>
      <c r="Y135">
        <v>45.086183820000002</v>
      </c>
    </row>
    <row r="136" spans="1:25">
      <c r="A136" t="s">
        <v>147</v>
      </c>
      <c r="B136" t="s">
        <v>118</v>
      </c>
      <c r="C136" s="3">
        <v>2.6593008239999998</v>
      </c>
      <c r="D136" s="3">
        <v>0.58277752100000002</v>
      </c>
      <c r="E136" s="3">
        <v>0.814015724</v>
      </c>
      <c r="F136" s="3">
        <v>13.38962712</v>
      </c>
      <c r="G136" s="3">
        <v>13.522165490000001</v>
      </c>
      <c r="H136" s="3">
        <v>0.52410328799999994</v>
      </c>
      <c r="I136" s="3">
        <v>5.524644876</v>
      </c>
      <c r="J136" s="3">
        <v>7.8159341180000004</v>
      </c>
      <c r="K136" s="3">
        <v>0.75825059299999997</v>
      </c>
      <c r="L136" s="3">
        <v>1.2326453610000001</v>
      </c>
      <c r="M136" s="3">
        <v>2.455236824</v>
      </c>
      <c r="N136" s="3">
        <v>0.63848974999999997</v>
      </c>
      <c r="O136" s="3">
        <v>2.5344025769999998</v>
      </c>
      <c r="P136" s="3">
        <v>18.41484582</v>
      </c>
      <c r="Q136" s="3">
        <v>1.627654803</v>
      </c>
      <c r="R136" s="3">
        <v>2.0414979340000001</v>
      </c>
      <c r="S136" s="3">
        <v>26.671337990000001</v>
      </c>
      <c r="T136" s="3">
        <v>26.410481740000002</v>
      </c>
      <c r="U136" s="3">
        <v>25.210681269999998</v>
      </c>
      <c r="V136" s="3">
        <v>48.378836990000003</v>
      </c>
      <c r="W136" s="3">
        <v>45.086183820000002</v>
      </c>
      <c r="X136" s="3">
        <v>3.2926531699999999</v>
      </c>
      <c r="Y136">
        <v>45.086183820000002</v>
      </c>
    </row>
    <row r="137" spans="1:25">
      <c r="A137" t="s">
        <v>148</v>
      </c>
      <c r="B137" t="s">
        <v>118</v>
      </c>
      <c r="C137" s="3">
        <v>2.218677837</v>
      </c>
      <c r="D137" s="3">
        <v>0.52450395800000005</v>
      </c>
      <c r="E137" s="3">
        <v>0.61711248399999996</v>
      </c>
      <c r="F137" s="3">
        <v>12.728099289999999</v>
      </c>
      <c r="G137" s="3">
        <v>11.91493588</v>
      </c>
      <c r="H137" s="3">
        <v>0.470396861</v>
      </c>
      <c r="I137" s="3">
        <v>5.5381983200000002</v>
      </c>
      <c r="J137" s="3">
        <v>8.1378599390000002</v>
      </c>
      <c r="K137" s="3">
        <v>0.138775811</v>
      </c>
      <c r="L137" s="3">
        <v>0.91378549799999997</v>
      </c>
      <c r="M137" s="3">
        <v>1.3505395630000001</v>
      </c>
      <c r="N137" s="3">
        <v>0.47822996099999998</v>
      </c>
      <c r="O137" s="3">
        <v>2.2835907350000002</v>
      </c>
      <c r="P137" s="3">
        <v>20.423269699999999</v>
      </c>
      <c r="Q137" s="3">
        <v>1.5891432649999999</v>
      </c>
      <c r="R137" s="3">
        <v>1.9656212200000001</v>
      </c>
      <c r="S137" s="3">
        <v>28.70725968</v>
      </c>
      <c r="T137" s="3">
        <v>24.553643520000001</v>
      </c>
      <c r="U137" s="3">
        <v>23.893460560000001</v>
      </c>
      <c r="V137" s="3">
        <v>51.552895919999997</v>
      </c>
      <c r="W137" s="3">
        <v>49.130529369999998</v>
      </c>
      <c r="X137" s="3">
        <v>2.4223665460000001</v>
      </c>
      <c r="Y137">
        <v>49.130529373333331</v>
      </c>
    </row>
    <row r="138" spans="1:25">
      <c r="A138" t="s">
        <v>149</v>
      </c>
      <c r="B138" t="s">
        <v>118</v>
      </c>
      <c r="C138" s="3">
        <v>2.218677837</v>
      </c>
      <c r="D138" s="3">
        <v>0.52450395800000005</v>
      </c>
      <c r="E138" s="3">
        <v>0.61711248399999996</v>
      </c>
      <c r="F138" s="3">
        <v>12.728099289999999</v>
      </c>
      <c r="G138" s="3">
        <v>11.91493588</v>
      </c>
      <c r="H138" s="3">
        <v>0.470396861</v>
      </c>
      <c r="I138" s="3">
        <v>5.5381983200000002</v>
      </c>
      <c r="J138" s="3">
        <v>8.1378599390000002</v>
      </c>
      <c r="K138" s="3">
        <v>0.138775811</v>
      </c>
      <c r="L138" s="3">
        <v>0.91378549799999997</v>
      </c>
      <c r="M138" s="3">
        <v>1.3505395630000001</v>
      </c>
      <c r="N138" s="3">
        <v>0.47822996099999998</v>
      </c>
      <c r="O138" s="3">
        <v>2.2835907350000002</v>
      </c>
      <c r="P138" s="3">
        <v>20.423269699999999</v>
      </c>
      <c r="Q138" s="3">
        <v>1.5891432649999999</v>
      </c>
      <c r="R138" s="3">
        <v>1.9656212200000001</v>
      </c>
      <c r="S138" s="3">
        <v>28.70725968</v>
      </c>
      <c r="T138" s="3">
        <v>24.553643520000001</v>
      </c>
      <c r="U138" s="3">
        <v>23.893460560000001</v>
      </c>
      <c r="V138" s="3">
        <v>51.552895919999997</v>
      </c>
      <c r="W138" s="3">
        <v>49.130529369999998</v>
      </c>
      <c r="X138" s="3">
        <v>2.4223665460000001</v>
      </c>
      <c r="Y138">
        <v>49.130529373333331</v>
      </c>
    </row>
    <row r="139" spans="1:25">
      <c r="A139" t="s">
        <v>150</v>
      </c>
      <c r="B139" t="s">
        <v>118</v>
      </c>
      <c r="C139" s="3">
        <v>2.218677837</v>
      </c>
      <c r="D139" s="3">
        <v>0.52450395800000005</v>
      </c>
      <c r="E139" s="3">
        <v>0.61711248399999996</v>
      </c>
      <c r="F139" s="3">
        <v>12.728099289999999</v>
      </c>
      <c r="G139" s="3">
        <v>11.91493588</v>
      </c>
      <c r="H139" s="3">
        <v>0.470396861</v>
      </c>
      <c r="I139" s="3">
        <v>5.5381983200000002</v>
      </c>
      <c r="J139" s="3">
        <v>8.1378599390000002</v>
      </c>
      <c r="K139" s="3">
        <v>0.138775811</v>
      </c>
      <c r="L139" s="3">
        <v>0.91378549799999997</v>
      </c>
      <c r="M139" s="3">
        <v>1.3505395630000001</v>
      </c>
      <c r="N139" s="3">
        <v>0.47822996099999998</v>
      </c>
      <c r="O139" s="3">
        <v>2.2835907350000002</v>
      </c>
      <c r="P139" s="3">
        <v>20.423269699999999</v>
      </c>
      <c r="Q139" s="3">
        <v>1.5891432649999999</v>
      </c>
      <c r="R139" s="3">
        <v>1.9656212200000001</v>
      </c>
      <c r="S139" s="3">
        <v>28.70725968</v>
      </c>
      <c r="T139" s="3">
        <v>24.553643520000001</v>
      </c>
      <c r="U139" s="3">
        <v>23.893460560000001</v>
      </c>
      <c r="V139" s="3">
        <v>51.552895919999997</v>
      </c>
      <c r="W139" s="3">
        <v>49.130529369999998</v>
      </c>
      <c r="X139" s="3">
        <v>2.4223665460000001</v>
      </c>
      <c r="Y139">
        <v>49.130529373333331</v>
      </c>
    </row>
    <row r="140" spans="1:25">
      <c r="A140" t="s">
        <v>151</v>
      </c>
      <c r="B140" t="s">
        <v>118</v>
      </c>
      <c r="C140" s="3">
        <v>1.923799407</v>
      </c>
      <c r="D140" s="3">
        <v>0.453045064</v>
      </c>
      <c r="E140" s="3">
        <v>0.55081769199999997</v>
      </c>
      <c r="F140" s="3">
        <v>12.98888322</v>
      </c>
      <c r="G140" s="3">
        <v>9.2224622059999994</v>
      </c>
      <c r="H140" s="3">
        <v>0.44251682199999998</v>
      </c>
      <c r="I140" s="3">
        <v>5.5128796500000004</v>
      </c>
      <c r="J140" s="3">
        <v>7.1965796620000004</v>
      </c>
      <c r="K140" s="3">
        <v>0.46357783000000002</v>
      </c>
      <c r="L140" s="3">
        <v>0.79762026799999997</v>
      </c>
      <c r="M140" s="3">
        <v>2.8297771329999999</v>
      </c>
      <c r="N140" s="3">
        <v>0.406071917</v>
      </c>
      <c r="O140" s="3">
        <v>2.0703879409999999</v>
      </c>
      <c r="P140" s="3">
        <v>16.679908489999999</v>
      </c>
      <c r="Q140" s="3">
        <v>1.6493593849999999</v>
      </c>
      <c r="R140" s="3">
        <v>2.4551867000000001</v>
      </c>
      <c r="S140" s="3">
        <v>34.357126610000002</v>
      </c>
      <c r="T140" s="3">
        <v>24.27194836</v>
      </c>
      <c r="U140" s="3">
        <v>22.157050770000001</v>
      </c>
      <c r="V140" s="3">
        <v>53.57100088</v>
      </c>
      <c r="W140" s="3">
        <v>51.037035099999997</v>
      </c>
      <c r="X140" s="3">
        <v>2.5339657710000001</v>
      </c>
      <c r="Y140">
        <v>51.037035103333331</v>
      </c>
    </row>
    <row r="141" spans="1:25">
      <c r="A141" t="s">
        <v>152</v>
      </c>
      <c r="B141" t="s">
        <v>118</v>
      </c>
      <c r="C141" s="3">
        <v>1.923799407</v>
      </c>
      <c r="D141" s="3">
        <v>0.453045064</v>
      </c>
      <c r="E141" s="3">
        <v>0.55081769199999997</v>
      </c>
      <c r="F141" s="3">
        <v>12.98888322</v>
      </c>
      <c r="G141" s="3">
        <v>9.2224622059999994</v>
      </c>
      <c r="H141" s="3">
        <v>0.44251682199999998</v>
      </c>
      <c r="I141" s="3">
        <v>5.5128796500000004</v>
      </c>
      <c r="J141" s="3">
        <v>7.1965796620000004</v>
      </c>
      <c r="K141" s="3">
        <v>0.46357783000000002</v>
      </c>
      <c r="L141" s="3">
        <v>0.79762026799999997</v>
      </c>
      <c r="M141" s="3">
        <v>2.8297771329999999</v>
      </c>
      <c r="N141" s="3">
        <v>0.406071917</v>
      </c>
      <c r="O141" s="3">
        <v>2.0703879409999999</v>
      </c>
      <c r="P141" s="3">
        <v>16.679908489999999</v>
      </c>
      <c r="Q141" s="3">
        <v>1.6493593849999999</v>
      </c>
      <c r="R141" s="3">
        <v>2.4551867000000001</v>
      </c>
      <c r="S141" s="3">
        <v>34.357126610000002</v>
      </c>
      <c r="T141" s="3">
        <v>24.27194836</v>
      </c>
      <c r="U141" s="3">
        <v>22.157050770000001</v>
      </c>
      <c r="V141" s="3">
        <v>53.57100088</v>
      </c>
      <c r="W141" s="3">
        <v>51.037035099999997</v>
      </c>
      <c r="X141" s="3">
        <v>2.5339657710000001</v>
      </c>
      <c r="Y141">
        <v>51.037035103333331</v>
      </c>
    </row>
    <row r="142" spans="1:25">
      <c r="A142" t="s">
        <v>153</v>
      </c>
      <c r="B142" t="s">
        <v>118</v>
      </c>
      <c r="C142" s="3">
        <v>1.923799407</v>
      </c>
      <c r="D142" s="3">
        <v>0.453045064</v>
      </c>
      <c r="E142" s="3">
        <v>0.55081769199999997</v>
      </c>
      <c r="F142" s="3">
        <v>12.98888322</v>
      </c>
      <c r="G142" s="3">
        <v>9.2224622059999994</v>
      </c>
      <c r="H142" s="3">
        <v>0.44251682199999998</v>
      </c>
      <c r="I142" s="3">
        <v>5.5128796500000004</v>
      </c>
      <c r="J142" s="3">
        <v>7.1965796620000004</v>
      </c>
      <c r="K142" s="3">
        <v>0.46357783000000002</v>
      </c>
      <c r="L142" s="3">
        <v>0.79762026799999997</v>
      </c>
      <c r="M142" s="3">
        <v>2.8297771329999999</v>
      </c>
      <c r="N142" s="3">
        <v>0.406071917</v>
      </c>
      <c r="O142" s="3">
        <v>2.0703879409999999</v>
      </c>
      <c r="P142" s="3">
        <v>16.679908489999999</v>
      </c>
      <c r="Q142" s="3">
        <v>1.6493593849999999</v>
      </c>
      <c r="R142" s="3">
        <v>2.4551867000000001</v>
      </c>
      <c r="S142" s="3">
        <v>34.357126610000002</v>
      </c>
      <c r="T142" s="3">
        <v>24.27194836</v>
      </c>
      <c r="U142" s="3">
        <v>22.157050770000001</v>
      </c>
      <c r="V142" s="3">
        <v>53.57100088</v>
      </c>
      <c r="W142" s="3">
        <v>51.037035099999997</v>
      </c>
      <c r="X142" s="3">
        <v>2.5339657710000001</v>
      </c>
      <c r="Y142">
        <v>51.037035103333331</v>
      </c>
    </row>
    <row r="143" spans="1:25">
      <c r="A143" t="s">
        <v>154</v>
      </c>
      <c r="B143" t="s">
        <v>118</v>
      </c>
      <c r="C143" s="3">
        <v>1.8556761749999999</v>
      </c>
      <c r="D143" s="3">
        <v>0.51818435900000004</v>
      </c>
      <c r="E143" s="3">
        <v>0.583713971</v>
      </c>
      <c r="F143" s="3">
        <v>13.00527503</v>
      </c>
      <c r="G143" s="3">
        <v>8.5926478680000002</v>
      </c>
      <c r="H143" s="3">
        <v>0.45759165800000001</v>
      </c>
      <c r="I143" s="3">
        <v>4.6613433689999999</v>
      </c>
      <c r="J143" s="3">
        <v>6.7139065779999996</v>
      </c>
      <c r="K143" s="3">
        <v>1.5043297520000001</v>
      </c>
      <c r="L143" s="3">
        <v>0.86146490200000003</v>
      </c>
      <c r="M143" s="3">
        <v>1.300169557</v>
      </c>
      <c r="N143" s="3">
        <v>0.40762851100000003</v>
      </c>
      <c r="O143" s="3">
        <v>1.6229951730000001</v>
      </c>
      <c r="P143" s="3">
        <v>10.71783761</v>
      </c>
      <c r="Q143" s="3">
        <v>1.876321865</v>
      </c>
      <c r="R143" s="3">
        <v>2.900321237</v>
      </c>
      <c r="S143" s="3">
        <v>42.420592390000003</v>
      </c>
      <c r="T143" s="3">
        <v>23.709015480000001</v>
      </c>
      <c r="U143" s="3">
        <v>20.025229599999999</v>
      </c>
      <c r="V143" s="3">
        <v>56.265754919999999</v>
      </c>
      <c r="W143" s="3">
        <v>53.138429989999999</v>
      </c>
      <c r="X143" s="3">
        <v>3.1273249239999998</v>
      </c>
      <c r="Y143">
        <v>53.138429993333339</v>
      </c>
    </row>
    <row r="144" spans="1:25">
      <c r="A144" t="s">
        <v>155</v>
      </c>
      <c r="B144" t="s">
        <v>118</v>
      </c>
      <c r="C144" s="3">
        <v>1.8556761749999999</v>
      </c>
      <c r="D144" s="3">
        <v>0.51818435900000004</v>
      </c>
      <c r="E144" s="3">
        <v>0.583713971</v>
      </c>
      <c r="F144" s="3">
        <v>13.00527503</v>
      </c>
      <c r="G144" s="3">
        <v>8.5926478680000002</v>
      </c>
      <c r="H144" s="3">
        <v>0.45759165800000001</v>
      </c>
      <c r="I144" s="3">
        <v>4.6613433689999999</v>
      </c>
      <c r="J144" s="3">
        <v>6.7139065779999996</v>
      </c>
      <c r="K144" s="3">
        <v>1.5043297520000001</v>
      </c>
      <c r="L144" s="3">
        <v>0.86146490200000003</v>
      </c>
      <c r="M144" s="3">
        <v>1.300169557</v>
      </c>
      <c r="N144" s="3">
        <v>0.40762851100000003</v>
      </c>
      <c r="O144" s="3">
        <v>1.6229951730000001</v>
      </c>
      <c r="P144" s="3">
        <v>10.71783761</v>
      </c>
      <c r="Q144" s="3">
        <v>1.876321865</v>
      </c>
      <c r="R144" s="3">
        <v>2.900321237</v>
      </c>
      <c r="S144" s="3">
        <v>42.420592390000003</v>
      </c>
      <c r="T144" s="3">
        <v>23.709015480000001</v>
      </c>
      <c r="U144" s="3">
        <v>20.025229599999999</v>
      </c>
      <c r="V144" s="3">
        <v>56.265754919999999</v>
      </c>
      <c r="W144" s="3">
        <v>53.138429989999999</v>
      </c>
      <c r="X144" s="3">
        <v>3.1273249239999998</v>
      </c>
      <c r="Y144">
        <v>53.138429993333339</v>
      </c>
    </row>
    <row r="145" spans="1:25">
      <c r="A145" t="s">
        <v>156</v>
      </c>
      <c r="B145" t="s">
        <v>118</v>
      </c>
      <c r="C145" s="3">
        <v>1.8556761749999999</v>
      </c>
      <c r="D145" s="3">
        <v>0.51818435900000004</v>
      </c>
      <c r="E145" s="3">
        <v>0.583713971</v>
      </c>
      <c r="F145" s="3">
        <v>13.00527503</v>
      </c>
      <c r="G145" s="3">
        <v>8.5926478680000002</v>
      </c>
      <c r="H145" s="3">
        <v>0.45759165800000001</v>
      </c>
      <c r="I145" s="3">
        <v>4.6613433689999999</v>
      </c>
      <c r="J145" s="3">
        <v>6.7139065779999996</v>
      </c>
      <c r="K145" s="3">
        <v>1.5043297520000001</v>
      </c>
      <c r="L145" s="3">
        <v>0.86146490200000003</v>
      </c>
      <c r="M145" s="3">
        <v>1.300169557</v>
      </c>
      <c r="N145" s="3">
        <v>0.40762851100000003</v>
      </c>
      <c r="O145" s="3">
        <v>1.6229951730000001</v>
      </c>
      <c r="P145" s="3">
        <v>10.71783761</v>
      </c>
      <c r="Q145" s="3">
        <v>1.876321865</v>
      </c>
      <c r="R145" s="3">
        <v>2.900321237</v>
      </c>
      <c r="S145" s="3">
        <v>42.420592390000003</v>
      </c>
      <c r="T145" s="3">
        <v>23.709015480000001</v>
      </c>
      <c r="U145" s="3">
        <v>20.025229599999999</v>
      </c>
      <c r="V145" s="3">
        <v>56.265754919999999</v>
      </c>
      <c r="W145" s="3">
        <v>53.138429989999999</v>
      </c>
      <c r="X145" s="3">
        <v>3.1273249239999998</v>
      </c>
      <c r="Y145">
        <v>53.138429993333339</v>
      </c>
    </row>
    <row r="146" spans="1:25">
      <c r="A146" t="s">
        <v>157</v>
      </c>
      <c r="B146" t="s">
        <v>118</v>
      </c>
      <c r="C146" s="3">
        <v>1.3092750120000001</v>
      </c>
      <c r="D146" s="3">
        <v>0.33924363200000002</v>
      </c>
      <c r="E146" s="3">
        <v>0.39404631200000001</v>
      </c>
      <c r="F146" s="3">
        <v>13.73655061</v>
      </c>
      <c r="G146" s="3">
        <v>6.1328760430000004</v>
      </c>
      <c r="H146" s="3">
        <v>0.41313714200000001</v>
      </c>
      <c r="I146" s="3">
        <v>4.919401959</v>
      </c>
      <c r="J146" s="3">
        <v>5.1234800739999997</v>
      </c>
      <c r="K146" s="3">
        <v>1.209793871</v>
      </c>
      <c r="L146" s="3">
        <v>0.56384281300000005</v>
      </c>
      <c r="M146" s="3">
        <v>0.50270071800000005</v>
      </c>
      <c r="N146" s="3">
        <v>0.27210027199999998</v>
      </c>
      <c r="O146" s="3">
        <v>0.82934695999999997</v>
      </c>
      <c r="P146" s="3">
        <v>10.57666094</v>
      </c>
      <c r="Q146" s="3">
        <v>1.6770828229999999</v>
      </c>
      <c r="R146" s="3">
        <v>2.9135967150000002</v>
      </c>
      <c r="S146" s="3">
        <v>49.345131109999997</v>
      </c>
      <c r="T146" s="3">
        <v>23.194736850000002</v>
      </c>
      <c r="U146" s="3">
        <v>14.844330279999999</v>
      </c>
      <c r="V146" s="3">
        <v>61.960932870000001</v>
      </c>
      <c r="W146" s="3">
        <v>59.92179204</v>
      </c>
      <c r="X146" s="3">
        <v>2.0391408310000001</v>
      </c>
      <c r="Y146">
        <v>59.921792039999993</v>
      </c>
    </row>
    <row r="147" spans="1:25">
      <c r="A147" t="s">
        <v>158</v>
      </c>
      <c r="B147" t="s">
        <v>118</v>
      </c>
      <c r="C147" s="3">
        <v>1.3092750120000001</v>
      </c>
      <c r="D147" s="3">
        <v>0.33924363200000002</v>
      </c>
      <c r="E147" s="3">
        <v>0.39404631200000001</v>
      </c>
      <c r="F147" s="3">
        <v>13.73655061</v>
      </c>
      <c r="G147" s="3">
        <v>6.1328760430000004</v>
      </c>
      <c r="H147" s="3">
        <v>0.41313714200000001</v>
      </c>
      <c r="I147" s="3">
        <v>4.919401959</v>
      </c>
      <c r="J147" s="3">
        <v>5.1234800739999997</v>
      </c>
      <c r="K147" s="3">
        <v>1.209793871</v>
      </c>
      <c r="L147" s="3">
        <v>0.56384281300000005</v>
      </c>
      <c r="M147" s="3">
        <v>0.50270071800000005</v>
      </c>
      <c r="N147" s="3">
        <v>0.27210027199999998</v>
      </c>
      <c r="O147" s="3">
        <v>0.82934695999999997</v>
      </c>
      <c r="P147" s="3">
        <v>10.57666094</v>
      </c>
      <c r="Q147" s="3">
        <v>1.6770828229999999</v>
      </c>
      <c r="R147" s="3">
        <v>2.9135967150000002</v>
      </c>
      <c r="S147" s="3">
        <v>49.345131109999997</v>
      </c>
      <c r="T147" s="3">
        <v>23.194736850000002</v>
      </c>
      <c r="U147" s="3">
        <v>14.844330279999999</v>
      </c>
      <c r="V147" s="3">
        <v>61.960932870000001</v>
      </c>
      <c r="W147" s="3">
        <v>59.92179204</v>
      </c>
      <c r="X147" s="3">
        <v>2.0391408310000001</v>
      </c>
      <c r="Y147">
        <v>59.921792039999993</v>
      </c>
    </row>
    <row r="148" spans="1:25">
      <c r="A148" t="s">
        <v>159</v>
      </c>
      <c r="B148" t="s">
        <v>118</v>
      </c>
      <c r="C148" s="3">
        <v>1.3092750120000001</v>
      </c>
      <c r="D148" s="3">
        <v>0.33924363200000002</v>
      </c>
      <c r="E148" s="3">
        <v>0.39404631200000001</v>
      </c>
      <c r="F148" s="3">
        <v>13.73655061</v>
      </c>
      <c r="G148" s="3">
        <v>6.1328760430000004</v>
      </c>
      <c r="H148" s="3">
        <v>0.41313714200000001</v>
      </c>
      <c r="I148" s="3">
        <v>4.919401959</v>
      </c>
      <c r="J148" s="3">
        <v>5.1234800739999997</v>
      </c>
      <c r="K148" s="3">
        <v>1.209793871</v>
      </c>
      <c r="L148" s="3">
        <v>0.56384281300000005</v>
      </c>
      <c r="M148" s="3">
        <v>0.50270071800000005</v>
      </c>
      <c r="N148" s="3">
        <v>0.27210027199999998</v>
      </c>
      <c r="O148" s="3">
        <v>0.82934695999999997</v>
      </c>
      <c r="P148" s="3">
        <v>10.57666094</v>
      </c>
      <c r="Q148" s="3">
        <v>1.6770828229999999</v>
      </c>
      <c r="R148" s="3">
        <v>2.9135967150000002</v>
      </c>
      <c r="S148" s="3">
        <v>49.345131109999997</v>
      </c>
      <c r="T148" s="3">
        <v>23.194736850000002</v>
      </c>
      <c r="U148" s="3">
        <v>14.844330279999999</v>
      </c>
      <c r="V148" s="3">
        <v>61.960932870000001</v>
      </c>
      <c r="W148" s="3">
        <v>59.92179204</v>
      </c>
      <c r="X148" s="3">
        <v>2.0391408310000001</v>
      </c>
      <c r="Y148">
        <v>59.921792039999993</v>
      </c>
    </row>
    <row r="149" spans="1:25">
      <c r="A149" t="s">
        <v>160</v>
      </c>
      <c r="B149" t="s">
        <v>118</v>
      </c>
      <c r="C149" s="3">
        <v>1.7383360109999999</v>
      </c>
      <c r="D149" s="3">
        <v>0.51524188199999998</v>
      </c>
      <c r="E149" s="3">
        <v>0.58966188500000005</v>
      </c>
      <c r="F149" s="3">
        <v>12.660298409999999</v>
      </c>
      <c r="G149" s="3">
        <v>5.6215726359999998</v>
      </c>
      <c r="H149" s="3">
        <v>0.506491319</v>
      </c>
      <c r="I149" s="3">
        <v>4.8000376249999999</v>
      </c>
      <c r="J149" s="3">
        <v>5.5314787709999997</v>
      </c>
      <c r="K149" s="3">
        <v>0.95617600199999997</v>
      </c>
      <c r="L149" s="3">
        <v>0.84291875999999999</v>
      </c>
      <c r="M149" s="3">
        <v>1.810951296</v>
      </c>
      <c r="N149" s="3">
        <v>0.38881331099999999</v>
      </c>
      <c r="O149" s="3">
        <v>1.2989523629999999</v>
      </c>
      <c r="P149" s="3">
        <v>10.50717871</v>
      </c>
      <c r="Q149" s="3">
        <v>1.934929847</v>
      </c>
      <c r="R149" s="3">
        <v>3.8044077239999998</v>
      </c>
      <c r="S149" s="3">
        <v>46.492553450000003</v>
      </c>
      <c r="T149" s="3">
        <v>23.461487170000002</v>
      </c>
      <c r="U149" s="3">
        <v>17.283652310000001</v>
      </c>
      <c r="V149" s="3">
        <v>59.254860530000002</v>
      </c>
      <c r="W149" s="3">
        <v>56.999732160000001</v>
      </c>
      <c r="X149" s="3">
        <v>2.255128365</v>
      </c>
      <c r="Y149">
        <v>56.999732163333327</v>
      </c>
    </row>
    <row r="150" spans="1:25">
      <c r="A150" t="s">
        <v>161</v>
      </c>
      <c r="B150" t="s">
        <v>118</v>
      </c>
      <c r="C150" s="3">
        <v>1.7383360109999999</v>
      </c>
      <c r="D150" s="3">
        <v>0.51524188199999998</v>
      </c>
      <c r="E150" s="3">
        <v>0.58966188500000005</v>
      </c>
      <c r="F150" s="3">
        <v>12.660298409999999</v>
      </c>
      <c r="G150" s="3">
        <v>5.6215726359999998</v>
      </c>
      <c r="H150" s="3">
        <v>0.506491319</v>
      </c>
      <c r="I150" s="3">
        <v>4.8000376249999999</v>
      </c>
      <c r="J150" s="3">
        <v>5.5314787709999997</v>
      </c>
      <c r="K150" s="3">
        <v>0.95617600199999997</v>
      </c>
      <c r="L150" s="3">
        <v>0.84291875999999999</v>
      </c>
      <c r="M150" s="3">
        <v>1.810951296</v>
      </c>
      <c r="N150" s="3">
        <v>0.38881331099999999</v>
      </c>
      <c r="O150" s="3">
        <v>1.2989523629999999</v>
      </c>
      <c r="P150" s="3">
        <v>10.50717871</v>
      </c>
      <c r="Q150" s="3">
        <v>1.934929847</v>
      </c>
      <c r="R150" s="3">
        <v>3.8044077239999998</v>
      </c>
      <c r="S150" s="3">
        <v>46.492553450000003</v>
      </c>
      <c r="T150" s="3">
        <v>23.461487170000002</v>
      </c>
      <c r="U150" s="3">
        <v>17.283652310000001</v>
      </c>
      <c r="V150" s="3">
        <v>59.254860530000002</v>
      </c>
      <c r="W150" s="3">
        <v>56.999732160000001</v>
      </c>
      <c r="X150" s="3">
        <v>2.255128365</v>
      </c>
      <c r="Y150">
        <v>56.999732163333327</v>
      </c>
    </row>
    <row r="151" spans="1:25">
      <c r="A151" t="s">
        <v>162</v>
      </c>
      <c r="B151" t="s">
        <v>118</v>
      </c>
      <c r="C151" s="3">
        <v>1.7383360109999999</v>
      </c>
      <c r="D151" s="3">
        <v>0.51524188199999998</v>
      </c>
      <c r="E151" s="3">
        <v>0.58966188500000005</v>
      </c>
      <c r="F151" s="3">
        <v>12.660298409999999</v>
      </c>
      <c r="G151" s="3">
        <v>5.6215726359999998</v>
      </c>
      <c r="H151" s="3">
        <v>0.506491319</v>
      </c>
      <c r="I151" s="3">
        <v>4.8000376249999999</v>
      </c>
      <c r="J151" s="3">
        <v>5.5314787709999997</v>
      </c>
      <c r="K151" s="3">
        <v>0.95617600199999997</v>
      </c>
      <c r="L151" s="3">
        <v>0.84291875999999999</v>
      </c>
      <c r="M151" s="3">
        <v>1.810951296</v>
      </c>
      <c r="N151" s="3">
        <v>0.38881331099999999</v>
      </c>
      <c r="O151" s="3">
        <v>1.2989523629999999</v>
      </c>
      <c r="P151" s="3">
        <v>10.50717871</v>
      </c>
      <c r="Q151" s="3">
        <v>1.934929847</v>
      </c>
      <c r="R151" s="3">
        <v>3.8044077239999998</v>
      </c>
      <c r="S151" s="3">
        <v>46.492553450000003</v>
      </c>
      <c r="T151" s="3">
        <v>23.461487170000002</v>
      </c>
      <c r="U151" s="3">
        <v>17.283652310000001</v>
      </c>
      <c r="V151" s="3">
        <v>59.254860530000002</v>
      </c>
      <c r="W151" s="3">
        <v>56.999732160000001</v>
      </c>
      <c r="X151" s="3">
        <v>2.255128365</v>
      </c>
      <c r="Y151">
        <v>56.999732163333327</v>
      </c>
    </row>
    <row r="152" spans="1:25">
      <c r="A152" t="s">
        <v>163</v>
      </c>
      <c r="B152" t="s">
        <v>118</v>
      </c>
      <c r="C152" s="3">
        <v>1.9216672050000001</v>
      </c>
      <c r="D152" s="3">
        <v>0.58165038099999999</v>
      </c>
      <c r="E152" s="3">
        <v>0.66647320899999996</v>
      </c>
      <c r="F152" s="3">
        <v>12.37080128</v>
      </c>
      <c r="G152" s="3">
        <v>6.3815021569999999</v>
      </c>
      <c r="H152" s="3">
        <v>0.52396008900000002</v>
      </c>
      <c r="I152" s="3">
        <v>4.5878891140000002</v>
      </c>
      <c r="J152" s="3">
        <v>5.1200355760000003</v>
      </c>
      <c r="K152" s="3">
        <v>0.32038966499999999</v>
      </c>
      <c r="L152" s="3">
        <v>0.93312176400000002</v>
      </c>
      <c r="M152" s="3">
        <v>1.63679763</v>
      </c>
      <c r="N152" s="3">
        <v>0.46880082899999997</v>
      </c>
      <c r="O152" s="3">
        <v>0.42095752400000003</v>
      </c>
      <c r="P152" s="3">
        <v>11.29617796</v>
      </c>
      <c r="Q152" s="3">
        <v>2.14065057</v>
      </c>
      <c r="R152" s="3">
        <v>4.5622765210000003</v>
      </c>
      <c r="S152" s="3">
        <v>46.066848520000001</v>
      </c>
      <c r="T152" s="3">
        <v>23.613364059999999</v>
      </c>
      <c r="U152" s="3">
        <v>18.28226226</v>
      </c>
      <c r="V152" s="3">
        <v>58.104373670000001</v>
      </c>
      <c r="W152" s="3">
        <v>57.363026480000002</v>
      </c>
      <c r="X152" s="3">
        <v>0.74134718799999999</v>
      </c>
      <c r="Y152">
        <v>57.363026483333329</v>
      </c>
    </row>
    <row r="153" spans="1:25">
      <c r="A153" t="s">
        <v>164</v>
      </c>
      <c r="B153" t="s">
        <v>118</v>
      </c>
      <c r="C153" s="3">
        <v>1.9216672050000001</v>
      </c>
      <c r="D153" s="3">
        <v>0.58165038099999999</v>
      </c>
      <c r="E153" s="3">
        <v>0.66647320899999996</v>
      </c>
      <c r="F153" s="3">
        <v>12.37080128</v>
      </c>
      <c r="G153" s="3">
        <v>6.3815021569999999</v>
      </c>
      <c r="H153" s="3">
        <v>0.52396008900000002</v>
      </c>
      <c r="I153" s="3">
        <v>4.5878891140000002</v>
      </c>
      <c r="J153" s="3">
        <v>5.1200355760000003</v>
      </c>
      <c r="K153" s="3">
        <v>0.32038966499999999</v>
      </c>
      <c r="L153" s="3">
        <v>0.93312176400000002</v>
      </c>
      <c r="M153" s="3">
        <v>1.63679763</v>
      </c>
      <c r="N153" s="3">
        <v>0.46880082899999997</v>
      </c>
      <c r="O153" s="3">
        <v>0.42095752400000003</v>
      </c>
      <c r="P153" s="3">
        <v>11.29617796</v>
      </c>
      <c r="Q153" s="3">
        <v>2.14065057</v>
      </c>
      <c r="R153" s="3">
        <v>4.5622765210000003</v>
      </c>
      <c r="S153" s="3">
        <v>46.066848520000001</v>
      </c>
      <c r="T153" s="3">
        <v>23.613364059999999</v>
      </c>
      <c r="U153" s="3">
        <v>18.28226226</v>
      </c>
      <c r="V153" s="3">
        <v>58.104373670000001</v>
      </c>
      <c r="W153" s="3">
        <v>57.363026480000002</v>
      </c>
      <c r="X153" s="3">
        <v>0.74134718799999999</v>
      </c>
      <c r="Y153">
        <v>57.363026483333329</v>
      </c>
    </row>
    <row r="154" spans="1:25">
      <c r="A154" t="s">
        <v>165</v>
      </c>
      <c r="B154" t="s">
        <v>118</v>
      </c>
      <c r="C154" s="3">
        <v>1.9216672050000001</v>
      </c>
      <c r="D154" s="3">
        <v>0.58165038099999999</v>
      </c>
      <c r="E154" s="3">
        <v>0.66647320899999996</v>
      </c>
      <c r="F154" s="3">
        <v>12.37080128</v>
      </c>
      <c r="G154" s="3">
        <v>6.3815021569999999</v>
      </c>
      <c r="H154" s="3">
        <v>0.52396008900000002</v>
      </c>
      <c r="I154" s="3">
        <v>4.5878891140000002</v>
      </c>
      <c r="J154" s="3">
        <v>5.1200355760000003</v>
      </c>
      <c r="K154" s="3">
        <v>0.32038966499999999</v>
      </c>
      <c r="L154" s="3">
        <v>0.93312176400000002</v>
      </c>
      <c r="M154" s="3">
        <v>1.63679763</v>
      </c>
      <c r="N154" s="3">
        <v>0.46880082899999997</v>
      </c>
      <c r="O154" s="3">
        <v>0.42095752400000003</v>
      </c>
      <c r="P154" s="3">
        <v>11.29617796</v>
      </c>
      <c r="Q154" s="3">
        <v>2.14065057</v>
      </c>
      <c r="R154" s="3">
        <v>4.5622765210000003</v>
      </c>
      <c r="S154" s="3">
        <v>46.066848520000001</v>
      </c>
      <c r="T154" s="3">
        <v>23.613364059999999</v>
      </c>
      <c r="U154" s="3">
        <v>18.28226226</v>
      </c>
      <c r="V154" s="3">
        <v>58.104373670000001</v>
      </c>
      <c r="W154" s="3">
        <v>57.363026480000002</v>
      </c>
      <c r="X154" s="3">
        <v>0.74134718799999999</v>
      </c>
      <c r="Y154">
        <v>57.363026483333329</v>
      </c>
    </row>
    <row r="155" spans="1:25">
      <c r="A155" t="s">
        <v>166</v>
      </c>
      <c r="B155" t="s">
        <v>118</v>
      </c>
      <c r="C155" s="3">
        <v>2.0500493880000001</v>
      </c>
      <c r="D155" s="3">
        <v>0.69429417400000004</v>
      </c>
      <c r="E155" s="3">
        <v>0.75953868899999999</v>
      </c>
      <c r="F155" s="3">
        <v>11.586002369999999</v>
      </c>
      <c r="G155" s="3">
        <v>6.6586403430000001</v>
      </c>
      <c r="H155" s="3">
        <v>0.55539289700000005</v>
      </c>
      <c r="I155" s="3">
        <v>4.7485823519999997</v>
      </c>
      <c r="J155" s="3">
        <v>5.4548430449999996</v>
      </c>
      <c r="K155" s="3">
        <v>0.749389046</v>
      </c>
      <c r="L155" s="3">
        <v>1.1138260090000001</v>
      </c>
      <c r="M155" s="3">
        <v>1.6090314370000001</v>
      </c>
      <c r="N155" s="3">
        <v>0.53138841299999995</v>
      </c>
      <c r="O155" s="3">
        <v>0.14732071899999999</v>
      </c>
      <c r="P155" s="3">
        <v>12.09553605</v>
      </c>
      <c r="Q155" s="3">
        <v>1.995627947</v>
      </c>
      <c r="R155" s="3">
        <v>5.2962990190000001</v>
      </c>
      <c r="S155" s="3">
        <v>44.204034450000002</v>
      </c>
      <c r="T155" s="3">
        <v>23.340408060000001</v>
      </c>
      <c r="U155" s="3">
        <v>19.71310802</v>
      </c>
      <c r="V155" s="3">
        <v>56.946483919999999</v>
      </c>
      <c r="W155" s="3">
        <v>56.299570500000002</v>
      </c>
      <c r="X155" s="3">
        <v>0.64691341599999996</v>
      </c>
      <c r="Y155">
        <v>56.299570503333342</v>
      </c>
    </row>
    <row r="156" spans="1:25">
      <c r="A156" t="s">
        <v>167</v>
      </c>
      <c r="B156" t="s">
        <v>118</v>
      </c>
      <c r="C156" s="3">
        <v>2.0500493880000001</v>
      </c>
      <c r="D156" s="3">
        <v>0.69429417400000004</v>
      </c>
      <c r="E156" s="3">
        <v>0.75953868899999999</v>
      </c>
      <c r="F156" s="3">
        <v>11.586002369999999</v>
      </c>
      <c r="G156" s="3">
        <v>6.6586403430000001</v>
      </c>
      <c r="H156" s="3">
        <v>0.55539289700000005</v>
      </c>
      <c r="I156" s="3">
        <v>4.7485823519999997</v>
      </c>
      <c r="J156" s="3">
        <v>5.4548430449999996</v>
      </c>
      <c r="K156" s="3">
        <v>0.749389046</v>
      </c>
      <c r="L156" s="3">
        <v>1.1138260090000001</v>
      </c>
      <c r="M156" s="3">
        <v>1.6090314370000001</v>
      </c>
      <c r="N156" s="3">
        <v>0.53138841299999995</v>
      </c>
      <c r="O156" s="3">
        <v>0.14732071899999999</v>
      </c>
      <c r="P156" s="3">
        <v>12.09553605</v>
      </c>
      <c r="Q156" s="3">
        <v>1.995627947</v>
      </c>
      <c r="R156" s="3">
        <v>5.2962990190000001</v>
      </c>
      <c r="S156" s="3">
        <v>44.204034450000002</v>
      </c>
      <c r="T156" s="3">
        <v>23.340408060000001</v>
      </c>
      <c r="U156" s="3">
        <v>19.71310802</v>
      </c>
      <c r="V156" s="3">
        <v>56.946483919999999</v>
      </c>
      <c r="W156" s="3">
        <v>56.299570500000002</v>
      </c>
      <c r="X156" s="3">
        <v>0.64691341599999996</v>
      </c>
      <c r="Y156">
        <v>56.299570503333342</v>
      </c>
    </row>
    <row r="157" spans="1:25">
      <c r="A157" t="s">
        <v>168</v>
      </c>
      <c r="B157" t="s">
        <v>118</v>
      </c>
      <c r="C157" s="3">
        <v>2.0500493880000001</v>
      </c>
      <c r="D157" s="3">
        <v>0.69429417400000004</v>
      </c>
      <c r="E157" s="3">
        <v>0.75953868899999999</v>
      </c>
      <c r="F157" s="3">
        <v>11.586002369999999</v>
      </c>
      <c r="G157" s="3">
        <v>6.6586403430000001</v>
      </c>
      <c r="H157" s="3">
        <v>0.55539289700000005</v>
      </c>
      <c r="I157" s="3">
        <v>4.7485823519999997</v>
      </c>
      <c r="J157" s="3">
        <v>5.4548430449999996</v>
      </c>
      <c r="K157" s="3">
        <v>0.749389046</v>
      </c>
      <c r="L157" s="3">
        <v>1.1138260090000001</v>
      </c>
      <c r="M157" s="3">
        <v>1.6090314370000001</v>
      </c>
      <c r="N157" s="3">
        <v>0.53138841299999995</v>
      </c>
      <c r="O157" s="3">
        <v>0.14732071899999999</v>
      </c>
      <c r="P157" s="3">
        <v>12.09553605</v>
      </c>
      <c r="Q157" s="3">
        <v>1.995627947</v>
      </c>
      <c r="R157" s="3">
        <v>5.2962990190000001</v>
      </c>
      <c r="S157" s="3">
        <v>44.204034450000002</v>
      </c>
      <c r="T157" s="3">
        <v>23.340408060000001</v>
      </c>
      <c r="U157" s="3">
        <v>19.71310802</v>
      </c>
      <c r="V157" s="3">
        <v>56.946483919999999</v>
      </c>
      <c r="W157" s="3">
        <v>56.299570500000002</v>
      </c>
      <c r="X157" s="3">
        <v>0.64691341599999996</v>
      </c>
      <c r="Y157">
        <v>56.299570503333342</v>
      </c>
    </row>
    <row r="158" spans="1:25">
      <c r="A158" t="s">
        <v>169</v>
      </c>
      <c r="B158" t="s">
        <v>118</v>
      </c>
      <c r="C158" s="3">
        <v>1.7844166269999999</v>
      </c>
      <c r="D158" s="3">
        <v>0.54010687099999999</v>
      </c>
      <c r="E158" s="3">
        <v>0.58472965399999999</v>
      </c>
      <c r="F158" s="3">
        <v>12.288321180000001</v>
      </c>
      <c r="G158" s="3">
        <v>5.8761597739999996</v>
      </c>
      <c r="H158" s="3">
        <v>0.46329516799999998</v>
      </c>
      <c r="I158" s="3">
        <v>5.2297766909999996</v>
      </c>
      <c r="J158" s="3">
        <v>4.6476676570000004</v>
      </c>
      <c r="K158" s="3">
        <v>0.42204437900000003</v>
      </c>
      <c r="L158" s="3">
        <v>0.84484812799999998</v>
      </c>
      <c r="M158" s="3">
        <v>1.2888765310000001</v>
      </c>
      <c r="N158" s="3">
        <v>0.391392615</v>
      </c>
      <c r="O158" s="3">
        <v>0.139158276</v>
      </c>
      <c r="P158" s="3">
        <v>11.51853273</v>
      </c>
      <c r="Q158" s="3">
        <v>1.8479843439999999</v>
      </c>
      <c r="R158" s="3">
        <v>5.0129032960000002</v>
      </c>
      <c r="S158" s="3">
        <v>47.119786079999997</v>
      </c>
      <c r="T158" s="3">
        <v>23.434764399999999</v>
      </c>
      <c r="U158" s="3">
        <v>17.365714130000001</v>
      </c>
      <c r="V158" s="3">
        <v>59.199521470000001</v>
      </c>
      <c r="W158" s="3">
        <v>58.638318810000001</v>
      </c>
      <c r="X158" s="3">
        <v>0.56120265499999999</v>
      </c>
      <c r="Y158">
        <v>58.638318809999987</v>
      </c>
    </row>
    <row r="159" spans="1:25">
      <c r="A159" t="s">
        <v>170</v>
      </c>
      <c r="B159" t="s">
        <v>118</v>
      </c>
      <c r="C159" s="3">
        <v>1.7844166269999999</v>
      </c>
      <c r="D159" s="3">
        <v>0.54010687099999999</v>
      </c>
      <c r="E159" s="3">
        <v>0.58472965399999999</v>
      </c>
      <c r="F159" s="3">
        <v>12.288321180000001</v>
      </c>
      <c r="G159" s="3">
        <v>5.8761597739999996</v>
      </c>
      <c r="H159" s="3">
        <v>0.46329516799999998</v>
      </c>
      <c r="I159" s="3">
        <v>5.2297766909999996</v>
      </c>
      <c r="J159" s="3">
        <v>4.6476676570000004</v>
      </c>
      <c r="K159" s="3">
        <v>0.42204437900000003</v>
      </c>
      <c r="L159" s="3">
        <v>0.84484812799999998</v>
      </c>
      <c r="M159" s="3">
        <v>1.2888765310000001</v>
      </c>
      <c r="N159" s="3">
        <v>0.391392615</v>
      </c>
      <c r="O159" s="3">
        <v>0.139158276</v>
      </c>
      <c r="P159" s="3">
        <v>11.51853273</v>
      </c>
      <c r="Q159" s="3">
        <v>1.8479843439999999</v>
      </c>
      <c r="R159" s="3">
        <v>5.0129032960000002</v>
      </c>
      <c r="S159" s="3">
        <v>47.119786079999997</v>
      </c>
      <c r="T159" s="3">
        <v>23.434764399999999</v>
      </c>
      <c r="U159" s="3">
        <v>17.365714130000001</v>
      </c>
      <c r="V159" s="3">
        <v>59.199521470000001</v>
      </c>
      <c r="W159" s="3">
        <v>58.638318810000001</v>
      </c>
      <c r="X159" s="3">
        <v>0.56120265499999999</v>
      </c>
      <c r="Y159">
        <v>58.638318809999987</v>
      </c>
    </row>
    <row r="160" spans="1:25">
      <c r="A160" t="s">
        <v>171</v>
      </c>
      <c r="B160" t="s">
        <v>118</v>
      </c>
      <c r="C160" s="3">
        <v>1.7844166269999999</v>
      </c>
      <c r="D160" s="3">
        <v>0.54010687099999999</v>
      </c>
      <c r="E160" s="3">
        <v>0.58472965399999999</v>
      </c>
      <c r="F160" s="3">
        <v>12.288321180000001</v>
      </c>
      <c r="G160" s="3">
        <v>5.8761597739999996</v>
      </c>
      <c r="H160" s="3">
        <v>0.46329516799999998</v>
      </c>
      <c r="I160" s="3">
        <v>5.2297766909999996</v>
      </c>
      <c r="J160" s="3">
        <v>4.6476676570000004</v>
      </c>
      <c r="K160" s="3">
        <v>0.42204437900000003</v>
      </c>
      <c r="L160" s="3">
        <v>0.84484812799999998</v>
      </c>
      <c r="M160" s="3">
        <v>1.2888765310000001</v>
      </c>
      <c r="N160" s="3">
        <v>0.391392615</v>
      </c>
      <c r="O160" s="3">
        <v>0.139158276</v>
      </c>
      <c r="P160" s="3">
        <v>11.51853273</v>
      </c>
      <c r="Q160" s="3">
        <v>1.8479843439999999</v>
      </c>
      <c r="R160" s="3">
        <v>5.0129032960000002</v>
      </c>
      <c r="S160" s="3">
        <v>47.119786079999997</v>
      </c>
      <c r="T160" s="3">
        <v>23.434764399999999</v>
      </c>
      <c r="U160" s="3">
        <v>17.365714130000001</v>
      </c>
      <c r="V160" s="3">
        <v>59.199521470000001</v>
      </c>
      <c r="W160" s="3">
        <v>58.638318810000001</v>
      </c>
      <c r="X160" s="3">
        <v>0.56120265499999999</v>
      </c>
      <c r="Y160">
        <v>58.638318809999987</v>
      </c>
    </row>
    <row r="161" spans="1:25">
      <c r="A161" t="s">
        <v>172</v>
      </c>
      <c r="B161" t="s">
        <v>118</v>
      </c>
      <c r="C161" s="3">
        <v>2.369128167</v>
      </c>
      <c r="D161" s="3">
        <v>0.83139399999999997</v>
      </c>
      <c r="E161" s="3">
        <v>0.91299897900000004</v>
      </c>
      <c r="F161" s="3">
        <v>12.560543340000001</v>
      </c>
      <c r="G161" s="3">
        <v>5.8647000309999999</v>
      </c>
      <c r="H161" s="3">
        <v>0.64327040899999999</v>
      </c>
      <c r="I161" s="3">
        <v>4.9383383600000004</v>
      </c>
      <c r="J161" s="3">
        <v>4.4610054630000002</v>
      </c>
      <c r="K161" s="3">
        <v>0.28476147299999999</v>
      </c>
      <c r="L161" s="3">
        <v>1.267434919</v>
      </c>
      <c r="M161" s="3">
        <v>2.1972401800000001</v>
      </c>
      <c r="N161" s="3">
        <v>0.63419327299999995</v>
      </c>
      <c r="O161" s="3">
        <v>0.178335401</v>
      </c>
      <c r="P161" s="3">
        <v>11.14998041</v>
      </c>
      <c r="Q161" s="3">
        <v>2.3691904780000002</v>
      </c>
      <c r="R161" s="3">
        <v>5.5596269449999998</v>
      </c>
      <c r="S161" s="3">
        <v>43.872778660000002</v>
      </c>
      <c r="T161" s="3">
        <v>25.695097929999999</v>
      </c>
      <c r="U161" s="3">
        <v>18.91396662</v>
      </c>
      <c r="V161" s="3">
        <v>55.390935450000001</v>
      </c>
      <c r="W161" s="3">
        <v>55.022759069999999</v>
      </c>
      <c r="X161" s="3">
        <v>0.368176383</v>
      </c>
      <c r="Y161">
        <v>55.022759073333333</v>
      </c>
    </row>
    <row r="162" spans="1:25">
      <c r="A162" t="s">
        <v>173</v>
      </c>
      <c r="B162" t="s">
        <v>118</v>
      </c>
      <c r="C162" s="3">
        <v>2.369128167</v>
      </c>
      <c r="D162" s="3">
        <v>0.83139399999999997</v>
      </c>
      <c r="E162" s="3">
        <v>0.91299897900000004</v>
      </c>
      <c r="F162" s="3">
        <v>12.560543340000001</v>
      </c>
      <c r="G162" s="3">
        <v>5.8647000309999999</v>
      </c>
      <c r="H162" s="3">
        <v>0.64327040899999999</v>
      </c>
      <c r="I162" s="3">
        <v>4.9383383600000004</v>
      </c>
      <c r="J162" s="3">
        <v>4.4610054630000002</v>
      </c>
      <c r="K162" s="3">
        <v>0.28476147299999999</v>
      </c>
      <c r="L162" s="3">
        <v>1.267434919</v>
      </c>
      <c r="M162" s="3">
        <v>2.1972401800000001</v>
      </c>
      <c r="N162" s="3">
        <v>0.63419327299999995</v>
      </c>
      <c r="O162" s="3">
        <v>0.178335401</v>
      </c>
      <c r="P162" s="3">
        <v>11.14998041</v>
      </c>
      <c r="Q162" s="3">
        <v>2.3691904780000002</v>
      </c>
      <c r="R162" s="3">
        <v>5.5596269449999998</v>
      </c>
      <c r="S162" s="3">
        <v>43.872778660000002</v>
      </c>
      <c r="T162" s="3">
        <v>25.695097929999999</v>
      </c>
      <c r="U162" s="3">
        <v>18.91396662</v>
      </c>
      <c r="V162" s="3">
        <v>55.390935450000001</v>
      </c>
      <c r="W162" s="3">
        <v>55.022759069999999</v>
      </c>
      <c r="X162" s="3">
        <v>0.368176383</v>
      </c>
      <c r="Y162">
        <v>55.022759073333333</v>
      </c>
    </row>
    <row r="163" spans="1:25">
      <c r="A163" t="s">
        <v>174</v>
      </c>
      <c r="B163" t="s">
        <v>118</v>
      </c>
      <c r="C163" s="3">
        <v>2.369128167</v>
      </c>
      <c r="D163" s="3">
        <v>0.83139399999999997</v>
      </c>
      <c r="E163" s="3">
        <v>0.91299897900000004</v>
      </c>
      <c r="F163" s="3">
        <v>12.560543340000001</v>
      </c>
      <c r="G163" s="3">
        <v>5.8647000309999999</v>
      </c>
      <c r="H163" s="3">
        <v>0.64327040899999999</v>
      </c>
      <c r="I163" s="3">
        <v>4.9383383600000004</v>
      </c>
      <c r="J163" s="3">
        <v>4.4610054630000002</v>
      </c>
      <c r="K163" s="3">
        <v>0.28476147299999999</v>
      </c>
      <c r="L163" s="3">
        <v>1.267434919</v>
      </c>
      <c r="M163" s="3">
        <v>2.1972401800000001</v>
      </c>
      <c r="N163" s="3">
        <v>0.63419327299999995</v>
      </c>
      <c r="O163" s="3">
        <v>0.178335401</v>
      </c>
      <c r="P163" s="3">
        <v>11.14998041</v>
      </c>
      <c r="Q163" s="3">
        <v>2.3691904780000002</v>
      </c>
      <c r="R163" s="3">
        <v>5.5596269449999998</v>
      </c>
      <c r="S163" s="3">
        <v>43.872778660000002</v>
      </c>
      <c r="T163" s="3">
        <v>25.695097929999999</v>
      </c>
      <c r="U163" s="3">
        <v>18.91396662</v>
      </c>
      <c r="V163" s="3">
        <v>55.390935450000001</v>
      </c>
      <c r="W163" s="3">
        <v>55.022759069999999</v>
      </c>
      <c r="X163" s="3">
        <v>0.368176383</v>
      </c>
      <c r="Y163">
        <v>55.022759073333333</v>
      </c>
    </row>
    <row r="164" spans="1:25">
      <c r="A164" t="s">
        <v>175</v>
      </c>
      <c r="B164" t="s">
        <v>118</v>
      </c>
      <c r="C164" s="3">
        <v>1.9944118200000001</v>
      </c>
      <c r="D164" s="3">
        <v>0.64231561699999995</v>
      </c>
      <c r="E164" s="3">
        <v>0.73940578400000001</v>
      </c>
      <c r="F164" s="3">
        <v>11.10493597</v>
      </c>
      <c r="G164" s="3">
        <v>6.3137808440000001</v>
      </c>
      <c r="H164" s="3">
        <v>0.55882485100000001</v>
      </c>
      <c r="I164" s="3">
        <v>4.6946698380000003</v>
      </c>
      <c r="J164" s="3">
        <v>5.3835671170000001</v>
      </c>
      <c r="K164" s="3">
        <v>0.70173544600000004</v>
      </c>
      <c r="L164" s="3">
        <v>1.0172698019999999</v>
      </c>
      <c r="M164" s="3">
        <v>2.2628481360000001</v>
      </c>
      <c r="N164" s="3">
        <v>0.50207879300000002</v>
      </c>
      <c r="O164" s="3">
        <v>0.16463952600000001</v>
      </c>
      <c r="P164" s="3">
        <v>11.18894001</v>
      </c>
      <c r="Q164" s="3">
        <v>2.1821920499999998</v>
      </c>
      <c r="R164" s="3">
        <v>5.3122593179999997</v>
      </c>
      <c r="S164" s="3">
        <v>45.703948709999999</v>
      </c>
      <c r="T164" s="3">
        <v>22.793788899999999</v>
      </c>
      <c r="U164" s="3">
        <v>19.914771030000001</v>
      </c>
      <c r="V164" s="3">
        <v>57.291440059999999</v>
      </c>
      <c r="W164" s="3">
        <v>56.892888720000002</v>
      </c>
      <c r="X164" s="3">
        <v>0.398551341</v>
      </c>
      <c r="Y164">
        <v>56.892888720000002</v>
      </c>
    </row>
    <row r="165" spans="1:25">
      <c r="A165" t="s">
        <v>176</v>
      </c>
      <c r="B165" t="s">
        <v>118</v>
      </c>
      <c r="C165" s="3">
        <v>1.9944118200000001</v>
      </c>
      <c r="D165" s="3">
        <v>0.64231561699999995</v>
      </c>
      <c r="E165" s="3">
        <v>0.73940578400000001</v>
      </c>
      <c r="F165" s="3">
        <v>11.10493597</v>
      </c>
      <c r="G165" s="3">
        <v>6.3137808440000001</v>
      </c>
      <c r="H165" s="3">
        <v>0.55882485100000001</v>
      </c>
      <c r="I165" s="3">
        <v>4.6946698380000003</v>
      </c>
      <c r="J165" s="3">
        <v>5.3835671170000001</v>
      </c>
      <c r="K165" s="3">
        <v>0.70173544600000004</v>
      </c>
      <c r="L165" s="3">
        <v>1.0172698019999999</v>
      </c>
      <c r="M165" s="3">
        <v>2.2628481360000001</v>
      </c>
      <c r="N165" s="3">
        <v>0.50207879300000002</v>
      </c>
      <c r="O165" s="3">
        <v>0.16463952600000001</v>
      </c>
      <c r="P165" s="3">
        <v>11.18894001</v>
      </c>
      <c r="Q165" s="3">
        <v>2.1821920499999998</v>
      </c>
      <c r="R165" s="3">
        <v>5.3122593179999997</v>
      </c>
      <c r="S165" s="3">
        <v>45.703948709999999</v>
      </c>
      <c r="T165" s="3">
        <v>22.793788899999999</v>
      </c>
      <c r="U165" s="3">
        <v>19.914771030000001</v>
      </c>
      <c r="V165" s="3">
        <v>57.291440059999999</v>
      </c>
      <c r="W165" s="3">
        <v>56.892888720000002</v>
      </c>
      <c r="X165" s="3">
        <v>0.398551341</v>
      </c>
      <c r="Y165">
        <v>56.892888720000002</v>
      </c>
    </row>
    <row r="166" spans="1:25">
      <c r="A166" t="s">
        <v>177</v>
      </c>
      <c r="B166" t="s">
        <v>118</v>
      </c>
      <c r="C166" s="3">
        <v>1.9944118200000001</v>
      </c>
      <c r="D166" s="3">
        <v>0.64231561699999995</v>
      </c>
      <c r="E166" s="3">
        <v>0.73940578400000001</v>
      </c>
      <c r="F166" s="3">
        <v>11.10493597</v>
      </c>
      <c r="G166" s="3">
        <v>6.3137808440000001</v>
      </c>
      <c r="H166" s="3">
        <v>0.55882485100000001</v>
      </c>
      <c r="I166" s="3">
        <v>4.6946698380000003</v>
      </c>
      <c r="J166" s="3">
        <v>5.3835671170000001</v>
      </c>
      <c r="K166" s="3">
        <v>0.70173544600000004</v>
      </c>
      <c r="L166" s="3">
        <v>1.0172698019999999</v>
      </c>
      <c r="M166" s="3">
        <v>2.2628481360000001</v>
      </c>
      <c r="N166" s="3">
        <v>0.50207879300000002</v>
      </c>
      <c r="O166" s="3">
        <v>0.16463952600000001</v>
      </c>
      <c r="P166" s="3">
        <v>11.18894001</v>
      </c>
      <c r="Q166" s="3">
        <v>2.1821920499999998</v>
      </c>
      <c r="R166" s="3">
        <v>5.3122593179999997</v>
      </c>
      <c r="S166" s="3">
        <v>45.703948709999999</v>
      </c>
      <c r="T166" s="3">
        <v>22.793788899999999</v>
      </c>
      <c r="U166" s="3">
        <v>19.914771030000001</v>
      </c>
      <c r="V166" s="3">
        <v>57.291440059999999</v>
      </c>
      <c r="W166" s="3">
        <v>56.892888720000002</v>
      </c>
      <c r="X166" s="3">
        <v>0.398551341</v>
      </c>
      <c r="Y166">
        <v>56.892888720000002</v>
      </c>
    </row>
    <row r="167" spans="1:25">
      <c r="A167" t="s">
        <v>178</v>
      </c>
      <c r="B167" t="s">
        <v>179</v>
      </c>
      <c r="C167" s="3">
        <v>1.2247319919999999</v>
      </c>
      <c r="D167" s="3">
        <v>0.474085794</v>
      </c>
      <c r="E167" s="3">
        <v>0.53424543400000002</v>
      </c>
      <c r="F167" s="3">
        <v>10.407094130000001</v>
      </c>
      <c r="G167" s="3">
        <v>4.4346627439999997</v>
      </c>
      <c r="H167" s="3">
        <v>0.45496130099999998</v>
      </c>
      <c r="I167" s="3">
        <v>3.6218825030000001</v>
      </c>
      <c r="J167" s="3">
        <v>14.75850818</v>
      </c>
      <c r="K167" s="3">
        <v>9.0552565850000004</v>
      </c>
      <c r="L167" s="3">
        <v>0.70070257999999996</v>
      </c>
      <c r="M167" s="3">
        <v>1.87024744</v>
      </c>
      <c r="N167" s="3">
        <v>0.35651383199999997</v>
      </c>
      <c r="O167" s="3">
        <v>0.12606500000000001</v>
      </c>
      <c r="P167" s="3">
        <v>4.5521823189999999</v>
      </c>
      <c r="Q167" s="3">
        <v>1.7035635410000001</v>
      </c>
      <c r="R167" s="3">
        <v>4.6612412460000003</v>
      </c>
      <c r="S167" s="3">
        <v>41.064055379999999</v>
      </c>
      <c r="T167" s="3">
        <v>19.003695319999999</v>
      </c>
      <c r="U167" s="3">
        <v>26.1987454</v>
      </c>
      <c r="V167" s="3">
        <v>54.797559280000002</v>
      </c>
      <c r="W167" s="3">
        <v>45.616237699999999</v>
      </c>
      <c r="X167" s="3">
        <v>9.1813215849999992</v>
      </c>
      <c r="Y167">
        <v>45.616237699999999</v>
      </c>
    </row>
    <row r="168" spans="1:25">
      <c r="A168" t="s">
        <v>180</v>
      </c>
      <c r="B168" t="s">
        <v>179</v>
      </c>
      <c r="C168" s="3">
        <v>1.2247319919999999</v>
      </c>
      <c r="D168" s="3">
        <v>0.474085794</v>
      </c>
      <c r="E168" s="3">
        <v>0.53424543400000002</v>
      </c>
      <c r="F168" s="3">
        <v>10.407094130000001</v>
      </c>
      <c r="G168" s="3">
        <v>4.4346627439999997</v>
      </c>
      <c r="H168" s="3">
        <v>0.45496130099999998</v>
      </c>
      <c r="I168" s="3">
        <v>3.6218825030000001</v>
      </c>
      <c r="J168" s="3">
        <v>14.75850818</v>
      </c>
      <c r="K168" s="3">
        <v>9.0552565850000004</v>
      </c>
      <c r="L168" s="3">
        <v>0.70070257999999996</v>
      </c>
      <c r="M168" s="3">
        <v>1.87024744</v>
      </c>
      <c r="N168" s="3">
        <v>0.35651383199999997</v>
      </c>
      <c r="O168" s="3">
        <v>0.12606500000000001</v>
      </c>
      <c r="P168" s="3">
        <v>4.5521823189999999</v>
      </c>
      <c r="Q168" s="3">
        <v>1.7035635410000001</v>
      </c>
      <c r="R168" s="3">
        <v>4.6612412460000003</v>
      </c>
      <c r="S168" s="3">
        <v>41.064055379999999</v>
      </c>
      <c r="T168" s="3">
        <v>19.003695319999999</v>
      </c>
      <c r="U168" s="3">
        <v>26.1987454</v>
      </c>
      <c r="V168" s="3">
        <v>54.797559280000002</v>
      </c>
      <c r="W168" s="3">
        <v>45.616237699999999</v>
      </c>
      <c r="X168" s="3">
        <v>9.1813215849999992</v>
      </c>
      <c r="Y168">
        <v>45.616237699999999</v>
      </c>
    </row>
    <row r="169" spans="1:25">
      <c r="A169" t="s">
        <v>181</v>
      </c>
      <c r="B169" t="s">
        <v>179</v>
      </c>
      <c r="C169" s="3">
        <v>1.2247319919999999</v>
      </c>
      <c r="D169" s="3">
        <v>0.474085794</v>
      </c>
      <c r="E169" s="3">
        <v>0.53424543400000002</v>
      </c>
      <c r="F169" s="3">
        <v>10.407094130000001</v>
      </c>
      <c r="G169" s="3">
        <v>4.4346627439999997</v>
      </c>
      <c r="H169" s="3">
        <v>0.45496130099999998</v>
      </c>
      <c r="I169" s="3">
        <v>3.6218825030000001</v>
      </c>
      <c r="J169" s="3">
        <v>14.75850818</v>
      </c>
      <c r="K169" s="3">
        <v>9.0552565850000004</v>
      </c>
      <c r="L169" s="3">
        <v>0.70070257999999996</v>
      </c>
      <c r="M169" s="3">
        <v>1.87024744</v>
      </c>
      <c r="N169" s="3">
        <v>0.35651383199999997</v>
      </c>
      <c r="O169" s="3">
        <v>0.12606500000000001</v>
      </c>
      <c r="P169" s="3">
        <v>4.5521823189999999</v>
      </c>
      <c r="Q169" s="3">
        <v>1.7035635410000001</v>
      </c>
      <c r="R169" s="3">
        <v>4.6612412460000003</v>
      </c>
      <c r="S169" s="3">
        <v>41.064055379999999</v>
      </c>
      <c r="T169" s="3">
        <v>19.003695319999999</v>
      </c>
      <c r="U169" s="3">
        <v>26.1987454</v>
      </c>
      <c r="V169" s="3">
        <v>54.797559280000002</v>
      </c>
      <c r="W169" s="3">
        <v>45.616237699999999</v>
      </c>
      <c r="X169" s="3">
        <v>9.1813215849999992</v>
      </c>
      <c r="Y169">
        <v>45.616237699999999</v>
      </c>
    </row>
    <row r="170" spans="1:25">
      <c r="A170" t="s">
        <v>182</v>
      </c>
      <c r="B170" t="s">
        <v>179</v>
      </c>
      <c r="C170" s="3">
        <v>1.396021588</v>
      </c>
      <c r="D170" s="3">
        <v>0.50613739400000002</v>
      </c>
      <c r="E170" s="3">
        <v>0.59657984799999997</v>
      </c>
      <c r="F170" s="3">
        <v>9.177346623</v>
      </c>
      <c r="G170" s="3">
        <v>5.6494334110000004</v>
      </c>
      <c r="H170" s="3">
        <v>0.51257709399999996</v>
      </c>
      <c r="I170" s="3">
        <v>3.5128705010000001</v>
      </c>
      <c r="J170" s="3">
        <v>20.744272859999999</v>
      </c>
      <c r="K170" s="3">
        <v>10.846689700000001</v>
      </c>
      <c r="L170" s="3">
        <v>0.79101450500000003</v>
      </c>
      <c r="M170" s="3">
        <v>1.6675153620000001</v>
      </c>
      <c r="N170" s="3">
        <v>0.42143470399999999</v>
      </c>
      <c r="O170" s="3">
        <v>0.120670939</v>
      </c>
      <c r="P170" s="3">
        <v>3.5737648740000001</v>
      </c>
      <c r="Q170" s="3">
        <v>1.606974253</v>
      </c>
      <c r="R170" s="3">
        <v>4.1068694250000002</v>
      </c>
      <c r="S170" s="3">
        <v>34.76982692</v>
      </c>
      <c r="T170" s="3">
        <v>18.014819110000001</v>
      </c>
      <c r="U170" s="3">
        <v>32.674228450000001</v>
      </c>
      <c r="V170" s="3">
        <v>49.31095243</v>
      </c>
      <c r="W170" s="3">
        <v>38.343591789999998</v>
      </c>
      <c r="X170" s="3">
        <v>10.967360640000001</v>
      </c>
      <c r="Y170">
        <v>38.343591789999998</v>
      </c>
    </row>
    <row r="171" spans="1:25">
      <c r="A171" t="s">
        <v>183</v>
      </c>
      <c r="B171" t="s">
        <v>179</v>
      </c>
      <c r="C171" s="3">
        <v>1.396021588</v>
      </c>
      <c r="D171" s="3">
        <v>0.50613739400000002</v>
      </c>
      <c r="E171" s="3">
        <v>0.59657984799999997</v>
      </c>
      <c r="F171" s="3">
        <v>9.177346623</v>
      </c>
      <c r="G171" s="3">
        <v>5.6494334110000004</v>
      </c>
      <c r="H171" s="3">
        <v>0.51257709399999996</v>
      </c>
      <c r="I171" s="3">
        <v>3.5128705010000001</v>
      </c>
      <c r="J171" s="3">
        <v>20.744272859999999</v>
      </c>
      <c r="K171" s="3">
        <v>10.846689700000001</v>
      </c>
      <c r="L171" s="3">
        <v>0.79101450500000003</v>
      </c>
      <c r="M171" s="3">
        <v>1.6675153620000001</v>
      </c>
      <c r="N171" s="3">
        <v>0.42143470399999999</v>
      </c>
      <c r="O171" s="3">
        <v>0.120670939</v>
      </c>
      <c r="P171" s="3">
        <v>3.5737648740000001</v>
      </c>
      <c r="Q171" s="3">
        <v>1.606974253</v>
      </c>
      <c r="R171" s="3">
        <v>4.1068694250000002</v>
      </c>
      <c r="S171" s="3">
        <v>34.76982692</v>
      </c>
      <c r="T171" s="3">
        <v>18.014819110000001</v>
      </c>
      <c r="U171" s="3">
        <v>32.674228450000001</v>
      </c>
      <c r="V171" s="3">
        <v>49.31095243</v>
      </c>
      <c r="W171" s="3">
        <v>38.343591789999998</v>
      </c>
      <c r="X171" s="3">
        <v>10.967360640000001</v>
      </c>
      <c r="Y171">
        <v>38.343591789999998</v>
      </c>
    </row>
    <row r="172" spans="1:25">
      <c r="A172" t="s">
        <v>184</v>
      </c>
      <c r="B172" t="s">
        <v>179</v>
      </c>
      <c r="C172" s="3">
        <v>1.396021588</v>
      </c>
      <c r="D172" s="3">
        <v>0.50613739400000002</v>
      </c>
      <c r="E172" s="3">
        <v>0.59657984799999997</v>
      </c>
      <c r="F172" s="3">
        <v>9.177346623</v>
      </c>
      <c r="G172" s="3">
        <v>5.6494334110000004</v>
      </c>
      <c r="H172" s="3">
        <v>0.51257709399999996</v>
      </c>
      <c r="I172" s="3">
        <v>3.5128705010000001</v>
      </c>
      <c r="J172" s="3">
        <v>20.744272859999999</v>
      </c>
      <c r="K172" s="3">
        <v>10.846689700000001</v>
      </c>
      <c r="L172" s="3">
        <v>0.79101450500000003</v>
      </c>
      <c r="M172" s="3">
        <v>1.6675153620000001</v>
      </c>
      <c r="N172" s="3">
        <v>0.42143470399999999</v>
      </c>
      <c r="O172" s="3">
        <v>0.120670939</v>
      </c>
      <c r="P172" s="3">
        <v>3.5737648740000001</v>
      </c>
      <c r="Q172" s="3">
        <v>1.606974253</v>
      </c>
      <c r="R172" s="3">
        <v>4.1068694250000002</v>
      </c>
      <c r="S172" s="3">
        <v>34.76982692</v>
      </c>
      <c r="T172" s="3">
        <v>18.014819110000001</v>
      </c>
      <c r="U172" s="3">
        <v>32.674228450000001</v>
      </c>
      <c r="V172" s="3">
        <v>49.31095243</v>
      </c>
      <c r="W172" s="3">
        <v>38.343591789999998</v>
      </c>
      <c r="X172" s="3">
        <v>10.967360640000001</v>
      </c>
      <c r="Y172">
        <v>38.343591789999998</v>
      </c>
    </row>
    <row r="173" spans="1:25">
      <c r="A173" t="s">
        <v>185</v>
      </c>
      <c r="B173" t="s">
        <v>179</v>
      </c>
      <c r="C173" s="3">
        <v>1.3789715849999999</v>
      </c>
      <c r="D173" s="3">
        <v>0.49027567900000002</v>
      </c>
      <c r="E173" s="3">
        <v>0.58523309700000004</v>
      </c>
      <c r="F173" s="3">
        <v>10.65307305</v>
      </c>
      <c r="G173" s="3">
        <v>4.7331535459999996</v>
      </c>
      <c r="H173" s="3">
        <v>0.46721847500000002</v>
      </c>
      <c r="I173" s="3">
        <v>3.6331847100000001</v>
      </c>
      <c r="J173" s="3">
        <v>18.5380523</v>
      </c>
      <c r="K173" s="3">
        <v>10.32483131</v>
      </c>
      <c r="L173" s="3">
        <v>0.75459072900000002</v>
      </c>
      <c r="M173" s="3">
        <v>2.741284807</v>
      </c>
      <c r="N173" s="3">
        <v>0.389275859</v>
      </c>
      <c r="O173" s="3">
        <v>0.118940869</v>
      </c>
      <c r="P173" s="3">
        <v>3.4567372019999998</v>
      </c>
      <c r="Q173" s="3">
        <v>1.6208342010000001</v>
      </c>
      <c r="R173" s="3">
        <v>4.3742017860000004</v>
      </c>
      <c r="S173" s="3">
        <v>35.740140799999999</v>
      </c>
      <c r="T173" s="3">
        <v>19.482381709999999</v>
      </c>
      <c r="U173" s="3">
        <v>30.87696811</v>
      </c>
      <c r="V173" s="3">
        <v>49.640650180000002</v>
      </c>
      <c r="W173" s="3">
        <v>39.196877999999998</v>
      </c>
      <c r="X173" s="3">
        <v>10.44377218</v>
      </c>
      <c r="Y173">
        <v>39.196878003333332</v>
      </c>
    </row>
    <row r="174" spans="1:25">
      <c r="A174" t="s">
        <v>186</v>
      </c>
      <c r="B174" t="s">
        <v>179</v>
      </c>
      <c r="C174" s="3">
        <v>1.3789715849999999</v>
      </c>
      <c r="D174" s="3">
        <v>0.49027567900000002</v>
      </c>
      <c r="E174" s="3">
        <v>0.58523309700000004</v>
      </c>
      <c r="F174" s="3">
        <v>10.65307305</v>
      </c>
      <c r="G174" s="3">
        <v>4.7331535459999996</v>
      </c>
      <c r="H174" s="3">
        <v>0.46721847500000002</v>
      </c>
      <c r="I174" s="3">
        <v>3.6331847100000001</v>
      </c>
      <c r="J174" s="3">
        <v>18.5380523</v>
      </c>
      <c r="K174" s="3">
        <v>10.32483131</v>
      </c>
      <c r="L174" s="3">
        <v>0.75459072900000002</v>
      </c>
      <c r="M174" s="3">
        <v>2.741284807</v>
      </c>
      <c r="N174" s="3">
        <v>0.389275859</v>
      </c>
      <c r="O174" s="3">
        <v>0.118940869</v>
      </c>
      <c r="P174" s="3">
        <v>3.4567372019999998</v>
      </c>
      <c r="Q174" s="3">
        <v>1.6208342010000001</v>
      </c>
      <c r="R174" s="3">
        <v>4.3742017860000004</v>
      </c>
      <c r="S174" s="3">
        <v>35.740140799999999</v>
      </c>
      <c r="T174" s="3">
        <v>19.482381709999999</v>
      </c>
      <c r="U174" s="3">
        <v>30.87696811</v>
      </c>
      <c r="V174" s="3">
        <v>49.640650180000002</v>
      </c>
      <c r="W174" s="3">
        <v>39.196877999999998</v>
      </c>
      <c r="X174" s="3">
        <v>10.44377218</v>
      </c>
      <c r="Y174">
        <v>39.196878003333332</v>
      </c>
    </row>
    <row r="175" spans="1:25">
      <c r="A175" t="s">
        <v>187</v>
      </c>
      <c r="B175" t="s">
        <v>179</v>
      </c>
      <c r="C175" s="3">
        <v>1.3789715849999999</v>
      </c>
      <c r="D175" s="3">
        <v>0.49027567900000002</v>
      </c>
      <c r="E175" s="3">
        <v>0.58523309700000004</v>
      </c>
      <c r="F175" s="3">
        <v>10.65307305</v>
      </c>
      <c r="G175" s="3">
        <v>4.7331535459999996</v>
      </c>
      <c r="H175" s="3">
        <v>0.46721847500000002</v>
      </c>
      <c r="I175" s="3">
        <v>3.6331847100000001</v>
      </c>
      <c r="J175" s="3">
        <v>18.5380523</v>
      </c>
      <c r="K175" s="3">
        <v>10.32483131</v>
      </c>
      <c r="L175" s="3">
        <v>0.75459072900000002</v>
      </c>
      <c r="M175" s="3">
        <v>2.741284807</v>
      </c>
      <c r="N175" s="3">
        <v>0.389275859</v>
      </c>
      <c r="O175" s="3">
        <v>0.118940869</v>
      </c>
      <c r="P175" s="3">
        <v>3.4567372019999998</v>
      </c>
      <c r="Q175" s="3">
        <v>1.6208342010000001</v>
      </c>
      <c r="R175" s="3">
        <v>4.3742017860000004</v>
      </c>
      <c r="S175" s="3">
        <v>35.740140799999999</v>
      </c>
      <c r="T175" s="3">
        <v>19.482381709999999</v>
      </c>
      <c r="U175" s="3">
        <v>30.87696811</v>
      </c>
      <c r="V175" s="3">
        <v>49.640650180000002</v>
      </c>
      <c r="W175" s="3">
        <v>39.196877999999998</v>
      </c>
      <c r="X175" s="3">
        <v>10.44377218</v>
      </c>
      <c r="Y175">
        <v>39.196878003333332</v>
      </c>
    </row>
    <row r="176" spans="1:25">
      <c r="A176" t="s">
        <v>188</v>
      </c>
      <c r="B176" t="s">
        <v>189</v>
      </c>
      <c r="C176" s="3">
        <v>1.8037401070000001</v>
      </c>
      <c r="D176" s="3">
        <v>0.65531829149999998</v>
      </c>
      <c r="E176" s="3">
        <v>0.74372547649999998</v>
      </c>
      <c r="F176" s="3">
        <v>9.8311070600000008</v>
      </c>
      <c r="G176" s="3">
        <v>5.6981770034999997</v>
      </c>
      <c r="H176" s="3">
        <v>0.57934350050000005</v>
      </c>
      <c r="I176" s="3">
        <v>3.7623648924999999</v>
      </c>
      <c r="J176" s="3">
        <v>9.1351142809999999</v>
      </c>
      <c r="K176" s="3">
        <v>2.695915989</v>
      </c>
      <c r="L176" s="3">
        <v>1.0472430079999999</v>
      </c>
      <c r="M176" s="3">
        <v>1.9477930489999999</v>
      </c>
      <c r="N176" s="3">
        <v>0.54097339600000005</v>
      </c>
      <c r="O176" s="3">
        <v>0.1285856605</v>
      </c>
      <c r="P176" s="3">
        <v>8.9362764864999988</v>
      </c>
      <c r="Q176" s="3">
        <v>2.1335498820000001</v>
      </c>
      <c r="R176" s="3">
        <v>5.7033452249999996</v>
      </c>
      <c r="S176" s="3">
        <v>44.927913390000001</v>
      </c>
      <c r="T176" s="3">
        <v>20.171560624999998</v>
      </c>
      <c r="U176" s="3">
        <v>23.139747849999999</v>
      </c>
      <c r="V176" s="3">
        <v>56.688691524999996</v>
      </c>
      <c r="W176" s="3">
        <v>53.864189875000001</v>
      </c>
      <c r="X176" s="3">
        <v>2.8245016495000002</v>
      </c>
      <c r="Y176">
        <v>53.864189875000001</v>
      </c>
    </row>
    <row r="177" spans="1:25">
      <c r="A177" t="s">
        <v>190</v>
      </c>
      <c r="B177" t="s">
        <v>189</v>
      </c>
      <c r="C177" s="3">
        <v>1.8037401070000001</v>
      </c>
      <c r="D177" s="3">
        <v>0.65531829149999998</v>
      </c>
      <c r="E177" s="3">
        <v>0.74372547649999998</v>
      </c>
      <c r="F177" s="3">
        <v>9.8311070600000008</v>
      </c>
      <c r="G177" s="3">
        <v>5.6981770034999997</v>
      </c>
      <c r="H177" s="3">
        <v>0.57934350050000005</v>
      </c>
      <c r="I177" s="3">
        <v>3.7623648924999999</v>
      </c>
      <c r="J177" s="3">
        <v>9.1351142809999999</v>
      </c>
      <c r="K177" s="3">
        <v>2.695915989</v>
      </c>
      <c r="L177" s="3">
        <v>1.0472430079999999</v>
      </c>
      <c r="M177" s="3">
        <v>1.9477930489999999</v>
      </c>
      <c r="N177" s="3">
        <v>0.54097339600000005</v>
      </c>
      <c r="O177" s="3">
        <v>0.1285856605</v>
      </c>
      <c r="P177" s="3">
        <v>8.9362764864999988</v>
      </c>
      <c r="Q177" s="3">
        <v>2.1335498820000001</v>
      </c>
      <c r="R177" s="3">
        <v>5.7033452249999996</v>
      </c>
      <c r="S177" s="3">
        <v>44.927913390000001</v>
      </c>
      <c r="T177" s="3">
        <v>20.171560624999998</v>
      </c>
      <c r="U177" s="3">
        <v>23.139747849999999</v>
      </c>
      <c r="V177" s="3">
        <v>56.688691524999996</v>
      </c>
      <c r="W177" s="3">
        <v>53.864189875000001</v>
      </c>
      <c r="X177" s="3">
        <v>2.8245016495000002</v>
      </c>
      <c r="Y177">
        <v>53.864189875000001</v>
      </c>
    </row>
    <row r="178" spans="1:25">
      <c r="A178" t="s">
        <v>191</v>
      </c>
      <c r="B178" t="s">
        <v>189</v>
      </c>
      <c r="C178" s="3">
        <v>1.8037401070000001</v>
      </c>
      <c r="D178" s="3">
        <v>0.65531829149999998</v>
      </c>
      <c r="E178" s="3">
        <v>0.74372547649999998</v>
      </c>
      <c r="F178" s="3">
        <v>9.8311070600000008</v>
      </c>
      <c r="G178" s="3">
        <v>5.6981770034999997</v>
      </c>
      <c r="H178" s="3">
        <v>0.57934350050000005</v>
      </c>
      <c r="I178" s="3">
        <v>3.7623648924999999</v>
      </c>
      <c r="J178" s="3">
        <v>9.1351142809999999</v>
      </c>
      <c r="K178" s="3">
        <v>2.695915989</v>
      </c>
      <c r="L178" s="3">
        <v>1.0472430079999999</v>
      </c>
      <c r="M178" s="3">
        <v>1.9477930489999999</v>
      </c>
      <c r="N178" s="3">
        <v>0.54097339600000005</v>
      </c>
      <c r="O178" s="3">
        <v>0.1285856605</v>
      </c>
      <c r="P178" s="3">
        <v>8.9362764864999988</v>
      </c>
      <c r="Q178" s="3">
        <v>2.1335498820000001</v>
      </c>
      <c r="R178" s="3">
        <v>5.7033452249999996</v>
      </c>
      <c r="S178" s="3">
        <v>44.927913390000001</v>
      </c>
      <c r="T178" s="3">
        <v>20.171560624999998</v>
      </c>
      <c r="U178" s="3">
        <v>23.139747849999999</v>
      </c>
      <c r="V178" s="3">
        <v>56.688691524999996</v>
      </c>
      <c r="W178" s="3">
        <v>53.864189875000001</v>
      </c>
      <c r="X178" s="3">
        <v>2.8245016495000002</v>
      </c>
      <c r="Y178">
        <v>53.864189875000001</v>
      </c>
    </row>
    <row r="179" spans="1:25">
      <c r="A179" t="s">
        <v>192</v>
      </c>
      <c r="B179" t="s">
        <v>189</v>
      </c>
      <c r="C179" s="3">
        <v>1.228896193</v>
      </c>
      <c r="D179" s="3">
        <v>0.460370314</v>
      </c>
      <c r="E179" s="3">
        <v>0.52009434399999999</v>
      </c>
      <c r="F179" s="3">
        <v>8.7763201899999999</v>
      </c>
      <c r="G179" s="3">
        <v>3.5395604999999999</v>
      </c>
      <c r="H179" s="3">
        <v>0.427439705</v>
      </c>
      <c r="I179" s="3">
        <v>3.6791666670000001</v>
      </c>
      <c r="J179" s="3">
        <v>7.1706514930000003</v>
      </c>
      <c r="K179" s="3">
        <v>2.111133202</v>
      </c>
      <c r="L179" s="3">
        <v>0.72424629799999996</v>
      </c>
      <c r="M179" s="3">
        <v>2.6951643199999999</v>
      </c>
      <c r="N179" s="3">
        <v>0.38477388400000001</v>
      </c>
      <c r="O179" s="3">
        <v>0.15569962300000001</v>
      </c>
      <c r="P179" s="3">
        <v>9.1854321819999996</v>
      </c>
      <c r="Q179" s="3">
        <v>1.954108545</v>
      </c>
      <c r="R179" s="3">
        <v>5.3694809289999998</v>
      </c>
      <c r="S179" s="3">
        <v>51.617461609999999</v>
      </c>
      <c r="T179" s="3">
        <v>17.695045830000002</v>
      </c>
      <c r="U179" s="3">
        <v>19.235227559999998</v>
      </c>
      <c r="V179" s="3">
        <v>63.069726619999997</v>
      </c>
      <c r="W179" s="3">
        <v>60.802893789999999</v>
      </c>
      <c r="X179" s="3">
        <v>2.2668328249999998</v>
      </c>
      <c r="Y179">
        <v>60.802893790000013</v>
      </c>
    </row>
    <row r="180" spans="1:25">
      <c r="A180" t="s">
        <v>193</v>
      </c>
      <c r="B180" t="s">
        <v>189</v>
      </c>
      <c r="C180" s="3">
        <v>1.228896193</v>
      </c>
      <c r="D180" s="3">
        <v>0.460370314</v>
      </c>
      <c r="E180" s="3">
        <v>0.52009434399999999</v>
      </c>
      <c r="F180" s="3">
        <v>8.7763201899999999</v>
      </c>
      <c r="G180" s="3">
        <v>3.5395604999999999</v>
      </c>
      <c r="H180" s="3">
        <v>0.427439705</v>
      </c>
      <c r="I180" s="3">
        <v>3.6791666670000001</v>
      </c>
      <c r="J180" s="3">
        <v>7.1706514930000003</v>
      </c>
      <c r="K180" s="3">
        <v>2.111133202</v>
      </c>
      <c r="L180" s="3">
        <v>0.72424629799999996</v>
      </c>
      <c r="M180" s="3">
        <v>2.6951643199999999</v>
      </c>
      <c r="N180" s="3">
        <v>0.38477388400000001</v>
      </c>
      <c r="O180" s="3">
        <v>0.15569962300000001</v>
      </c>
      <c r="P180" s="3">
        <v>9.1854321819999996</v>
      </c>
      <c r="Q180" s="3">
        <v>1.954108545</v>
      </c>
      <c r="R180" s="3">
        <v>5.3694809289999998</v>
      </c>
      <c r="S180" s="3">
        <v>51.617461609999999</v>
      </c>
      <c r="T180" s="3">
        <v>17.695045830000002</v>
      </c>
      <c r="U180" s="3">
        <v>19.235227559999998</v>
      </c>
      <c r="V180" s="3">
        <v>63.069726619999997</v>
      </c>
      <c r="W180" s="3">
        <v>60.802893789999999</v>
      </c>
      <c r="X180" s="3">
        <v>2.2668328249999998</v>
      </c>
      <c r="Y180">
        <v>60.802893790000013</v>
      </c>
    </row>
    <row r="181" spans="1:25">
      <c r="A181" t="s">
        <v>194</v>
      </c>
      <c r="B181" t="s">
        <v>189</v>
      </c>
      <c r="C181" s="3">
        <v>1.228896193</v>
      </c>
      <c r="D181" s="3">
        <v>0.460370314</v>
      </c>
      <c r="E181" s="3">
        <v>0.52009434399999999</v>
      </c>
      <c r="F181" s="3">
        <v>8.7763201899999999</v>
      </c>
      <c r="G181" s="3">
        <v>3.5395604999999999</v>
      </c>
      <c r="H181" s="3">
        <v>0.427439705</v>
      </c>
      <c r="I181" s="3">
        <v>3.6791666670000001</v>
      </c>
      <c r="J181" s="3">
        <v>7.1706514930000003</v>
      </c>
      <c r="K181" s="3">
        <v>2.111133202</v>
      </c>
      <c r="L181" s="3">
        <v>0.72424629799999996</v>
      </c>
      <c r="M181" s="3">
        <v>2.6951643199999999</v>
      </c>
      <c r="N181" s="3">
        <v>0.38477388400000001</v>
      </c>
      <c r="O181" s="3">
        <v>0.15569962300000001</v>
      </c>
      <c r="P181" s="3">
        <v>9.1854321819999996</v>
      </c>
      <c r="Q181" s="3">
        <v>1.954108545</v>
      </c>
      <c r="R181" s="3">
        <v>5.3694809289999998</v>
      </c>
      <c r="S181" s="3">
        <v>51.617461609999999</v>
      </c>
      <c r="T181" s="3">
        <v>17.695045830000002</v>
      </c>
      <c r="U181" s="3">
        <v>19.235227559999998</v>
      </c>
      <c r="V181" s="3">
        <v>63.069726619999997</v>
      </c>
      <c r="W181" s="3">
        <v>60.802893789999999</v>
      </c>
      <c r="X181" s="3">
        <v>2.2668328249999998</v>
      </c>
      <c r="Y181">
        <v>60.802893790000013</v>
      </c>
    </row>
    <row r="182" spans="1:25">
      <c r="A182" t="s">
        <v>195</v>
      </c>
      <c r="B182" t="s">
        <v>189</v>
      </c>
      <c r="C182" s="3">
        <v>1.459692811</v>
      </c>
      <c r="D182" s="3">
        <v>0.5505730955</v>
      </c>
      <c r="E182" s="3">
        <v>0.61343627649999999</v>
      </c>
      <c r="F182" s="3">
        <v>9.1693844994999996</v>
      </c>
      <c r="G182" s="3">
        <v>4.4520908595000002</v>
      </c>
      <c r="H182" s="3">
        <v>0.49387029449999997</v>
      </c>
      <c r="I182" s="3">
        <v>3.6841265475</v>
      </c>
      <c r="J182" s="3">
        <v>7.7851244314999999</v>
      </c>
      <c r="K182" s="3">
        <v>2.9740311239999997</v>
      </c>
      <c r="L182" s="3">
        <v>0.88715383199999998</v>
      </c>
      <c r="M182" s="3">
        <v>1.9206110205</v>
      </c>
      <c r="N182" s="3">
        <v>0.44821913549999998</v>
      </c>
      <c r="O182" s="3">
        <v>0.15865430050000001</v>
      </c>
      <c r="P182" s="3">
        <v>8.3697878484999997</v>
      </c>
      <c r="Q182" s="3">
        <v>2.3057659849999999</v>
      </c>
      <c r="R182" s="3">
        <v>5.7110669490000001</v>
      </c>
      <c r="S182" s="3">
        <v>49.016410989999997</v>
      </c>
      <c r="T182" s="3">
        <v>19.061649379999999</v>
      </c>
      <c r="U182" s="3">
        <v>20.419466355000001</v>
      </c>
      <c r="V182" s="3">
        <v>60.518884264999997</v>
      </c>
      <c r="W182" s="3">
        <v>57.386198840000006</v>
      </c>
      <c r="X182" s="3">
        <v>3.1326854239999999</v>
      </c>
      <c r="Y182">
        <v>57.386198840000006</v>
      </c>
    </row>
    <row r="183" spans="1:25">
      <c r="A183" t="s">
        <v>196</v>
      </c>
      <c r="B183" t="s">
        <v>189</v>
      </c>
      <c r="C183" s="3">
        <v>1.459692811</v>
      </c>
      <c r="D183" s="3">
        <v>0.5505730955</v>
      </c>
      <c r="E183" s="3">
        <v>0.61343627649999999</v>
      </c>
      <c r="F183" s="3">
        <v>9.1693844994999996</v>
      </c>
      <c r="G183" s="3">
        <v>4.4520908595000002</v>
      </c>
      <c r="H183" s="3">
        <v>0.49387029449999997</v>
      </c>
      <c r="I183" s="3">
        <v>3.6841265475</v>
      </c>
      <c r="J183" s="3">
        <v>7.7851244314999999</v>
      </c>
      <c r="K183" s="3">
        <v>2.9740311239999997</v>
      </c>
      <c r="L183" s="3">
        <v>0.88715383199999998</v>
      </c>
      <c r="M183" s="3">
        <v>1.9206110205</v>
      </c>
      <c r="N183" s="3">
        <v>0.44821913549999998</v>
      </c>
      <c r="O183" s="3">
        <v>0.15865430050000001</v>
      </c>
      <c r="P183" s="3">
        <v>8.3697878484999997</v>
      </c>
      <c r="Q183" s="3">
        <v>2.3057659849999999</v>
      </c>
      <c r="R183" s="3">
        <v>5.7110669490000001</v>
      </c>
      <c r="S183" s="3">
        <v>49.016410989999997</v>
      </c>
      <c r="T183" s="3">
        <v>19.061649379999999</v>
      </c>
      <c r="U183" s="3">
        <v>20.419466355000001</v>
      </c>
      <c r="V183" s="3">
        <v>60.518884264999997</v>
      </c>
      <c r="W183" s="3">
        <v>57.386198840000006</v>
      </c>
      <c r="X183" s="3">
        <v>3.1326854239999999</v>
      </c>
      <c r="Y183">
        <v>57.386198840000006</v>
      </c>
    </row>
    <row r="184" spans="1:25">
      <c r="A184" t="s">
        <v>197</v>
      </c>
      <c r="B184" t="s">
        <v>189</v>
      </c>
      <c r="C184">
        <v>1.459692811</v>
      </c>
      <c r="D184">
        <v>0.5505730955</v>
      </c>
      <c r="E184">
        <v>0.61343627649999999</v>
      </c>
      <c r="F184">
        <v>9.1693844994999996</v>
      </c>
      <c r="G184">
        <v>4.4520908595000002</v>
      </c>
      <c r="H184">
        <v>0.49387029449999997</v>
      </c>
      <c r="I184">
        <v>3.6841265475</v>
      </c>
      <c r="J184">
        <v>7.7851244314999999</v>
      </c>
      <c r="K184">
        <v>2.9740311239999997</v>
      </c>
      <c r="L184">
        <v>0.88715383199999998</v>
      </c>
      <c r="M184">
        <v>1.9206110205</v>
      </c>
      <c r="N184">
        <v>0.44821913549999998</v>
      </c>
      <c r="O184">
        <v>0.15865430050000001</v>
      </c>
      <c r="P184">
        <v>8.3697878484999997</v>
      </c>
      <c r="Q184">
        <v>2.3057659849999999</v>
      </c>
      <c r="R184">
        <v>5.7110669490000001</v>
      </c>
      <c r="S184">
        <v>49.016410989999997</v>
      </c>
      <c r="T184">
        <v>19.061649379999999</v>
      </c>
      <c r="U184">
        <v>20.419466355000001</v>
      </c>
      <c r="V184">
        <v>60.518884264999997</v>
      </c>
      <c r="W184">
        <v>57.386198840000006</v>
      </c>
      <c r="X184">
        <v>3.1326854239999999</v>
      </c>
      <c r="Y184">
        <v>57.386198840000006</v>
      </c>
    </row>
    <row r="185" spans="1:25">
      <c r="A185" t="s">
        <v>198</v>
      </c>
      <c r="B185" t="s">
        <v>189</v>
      </c>
      <c r="C185" s="3">
        <v>1.5306838199999999</v>
      </c>
      <c r="D185" s="3">
        <v>0.50441653399999997</v>
      </c>
      <c r="E185" s="3">
        <v>0.58589043799999996</v>
      </c>
      <c r="F185" s="3">
        <v>10.199927260000001</v>
      </c>
      <c r="G185" s="3">
        <v>6.3577951910000001</v>
      </c>
      <c r="H185" s="3">
        <v>0.47905555</v>
      </c>
      <c r="I185" s="3">
        <v>3.7472822400000001</v>
      </c>
      <c r="J185" s="3">
        <v>11.45844234</v>
      </c>
      <c r="K185" s="3">
        <v>4.5428026350000001</v>
      </c>
      <c r="L185" s="3">
        <v>0.83852479400000002</v>
      </c>
      <c r="M185" s="3">
        <v>1.994016502</v>
      </c>
      <c r="N185" s="3">
        <v>0.43765779199999999</v>
      </c>
      <c r="O185" s="3">
        <v>0.128298616</v>
      </c>
      <c r="P185" s="3">
        <v>7.3941933439999996</v>
      </c>
      <c r="Q185" s="3">
        <v>1.758137437</v>
      </c>
      <c r="R185" s="3">
        <v>4.9968456139999997</v>
      </c>
      <c r="S185" s="3">
        <v>43.046029900000001</v>
      </c>
      <c r="T185" s="3">
        <v>19.577159330000001</v>
      </c>
      <c r="U185" s="3">
        <v>25.311516180000002</v>
      </c>
      <c r="V185" s="3">
        <v>55.111324490000001</v>
      </c>
      <c r="W185" s="3">
        <v>50.440223240000002</v>
      </c>
      <c r="X185" s="3">
        <v>4.6711012500000004</v>
      </c>
      <c r="Y185">
        <v>50.440223236666668</v>
      </c>
    </row>
    <row r="186" spans="1:25">
      <c r="A186" t="s">
        <v>199</v>
      </c>
      <c r="B186" t="s">
        <v>189</v>
      </c>
      <c r="C186" s="3">
        <v>1.5306838199999999</v>
      </c>
      <c r="D186" s="3">
        <v>0.50441653399999997</v>
      </c>
      <c r="E186" s="3">
        <v>0.58589043799999996</v>
      </c>
      <c r="F186" s="3">
        <v>10.199927260000001</v>
      </c>
      <c r="G186" s="3">
        <v>6.3577951910000001</v>
      </c>
      <c r="H186" s="3">
        <v>0.47905555</v>
      </c>
      <c r="I186" s="3">
        <v>3.7472822400000001</v>
      </c>
      <c r="J186" s="3">
        <v>11.45844234</v>
      </c>
      <c r="K186" s="3">
        <v>4.5428026350000001</v>
      </c>
      <c r="L186" s="3">
        <v>0.83852479400000002</v>
      </c>
      <c r="M186" s="3">
        <v>1.994016502</v>
      </c>
      <c r="N186" s="3">
        <v>0.43765779199999999</v>
      </c>
      <c r="O186" s="3">
        <v>0.128298616</v>
      </c>
      <c r="P186" s="3">
        <v>7.3941933439999996</v>
      </c>
      <c r="Q186" s="3">
        <v>1.758137437</v>
      </c>
      <c r="R186" s="3">
        <v>4.9968456139999997</v>
      </c>
      <c r="S186" s="3">
        <v>43.046029900000001</v>
      </c>
      <c r="T186" s="3">
        <v>19.577159330000001</v>
      </c>
      <c r="U186" s="3">
        <v>25.311516180000002</v>
      </c>
      <c r="V186" s="3">
        <v>55.111324490000001</v>
      </c>
      <c r="W186" s="3">
        <v>50.440223240000002</v>
      </c>
      <c r="X186" s="3">
        <v>4.6711012500000004</v>
      </c>
      <c r="Y186">
        <v>50.440223236666668</v>
      </c>
    </row>
    <row r="187" spans="1:25">
      <c r="A187" t="s">
        <v>200</v>
      </c>
      <c r="B187" t="s">
        <v>189</v>
      </c>
      <c r="C187" s="3">
        <v>1.5306838199999999</v>
      </c>
      <c r="D187" s="3">
        <v>0.50441653399999997</v>
      </c>
      <c r="E187" s="3">
        <v>0.58589043799999996</v>
      </c>
      <c r="F187" s="3">
        <v>10.199927260000001</v>
      </c>
      <c r="G187" s="3">
        <v>6.3577951910000001</v>
      </c>
      <c r="H187" s="3">
        <v>0.47905555</v>
      </c>
      <c r="I187" s="3">
        <v>3.7472822400000001</v>
      </c>
      <c r="J187" s="3">
        <v>11.45844234</v>
      </c>
      <c r="K187" s="3">
        <v>4.5428026350000001</v>
      </c>
      <c r="L187" s="3">
        <v>0.83852479400000002</v>
      </c>
      <c r="M187" s="3">
        <v>1.994016502</v>
      </c>
      <c r="N187" s="3">
        <v>0.43765779199999999</v>
      </c>
      <c r="O187" s="3">
        <v>0.128298616</v>
      </c>
      <c r="P187" s="3">
        <v>7.3941933439999996</v>
      </c>
      <c r="Q187" s="3">
        <v>1.758137437</v>
      </c>
      <c r="R187" s="3">
        <v>4.9968456139999997</v>
      </c>
      <c r="S187" s="3">
        <v>43.046029900000001</v>
      </c>
      <c r="T187" s="3">
        <v>19.577159330000001</v>
      </c>
      <c r="U187" s="3">
        <v>25.311516180000002</v>
      </c>
      <c r="V187" s="3">
        <v>55.111324490000001</v>
      </c>
      <c r="W187" s="3">
        <v>50.440223240000002</v>
      </c>
      <c r="X187" s="3">
        <v>4.6711012500000004</v>
      </c>
      <c r="Y187">
        <v>50.440223236666668</v>
      </c>
    </row>
    <row r="188" spans="1:25">
      <c r="A188" t="s">
        <v>201</v>
      </c>
      <c r="B188" t="s">
        <v>189</v>
      </c>
      <c r="C188" s="3">
        <v>1.7434067929999999</v>
      </c>
      <c r="D188" s="3">
        <v>0.56771075000000004</v>
      </c>
      <c r="E188" s="3">
        <v>0.66206456599999997</v>
      </c>
      <c r="F188" s="3">
        <v>10.272471940000001</v>
      </c>
      <c r="G188" s="3">
        <v>6.4390448759999996</v>
      </c>
      <c r="H188" s="3">
        <v>0.55554266799999996</v>
      </c>
      <c r="I188" s="3">
        <v>4.1765712920000002</v>
      </c>
      <c r="J188" s="3">
        <v>10.07149433</v>
      </c>
      <c r="K188" s="3">
        <v>3.9591409070000001</v>
      </c>
      <c r="L188" s="3">
        <v>0.92799218000000006</v>
      </c>
      <c r="M188" s="3">
        <v>2.3826807639999998</v>
      </c>
      <c r="N188" s="3">
        <v>0.49031718699999999</v>
      </c>
      <c r="O188" s="3">
        <v>0.182945688</v>
      </c>
      <c r="P188" s="3">
        <v>6.5162001979999999</v>
      </c>
      <c r="Q188" s="3">
        <v>1.9790316059999999</v>
      </c>
      <c r="R188" s="3">
        <v>5.3252569259999998</v>
      </c>
      <c r="S188" s="3">
        <v>44.542354250000002</v>
      </c>
      <c r="T188" s="3">
        <v>20.80739823</v>
      </c>
      <c r="U188" s="3">
        <v>23.991960729999999</v>
      </c>
      <c r="V188" s="3">
        <v>55.200641040000001</v>
      </c>
      <c r="W188" s="3">
        <v>51.058554440000002</v>
      </c>
      <c r="X188" s="3">
        <v>4.1420865950000003</v>
      </c>
      <c r="Y188">
        <v>51.058554443333328</v>
      </c>
    </row>
    <row r="189" spans="1:25">
      <c r="A189" t="s">
        <v>202</v>
      </c>
      <c r="B189" t="s">
        <v>189</v>
      </c>
      <c r="C189" s="3">
        <v>1.7434067929999999</v>
      </c>
      <c r="D189" s="3">
        <v>0.56771075000000004</v>
      </c>
      <c r="E189" s="3">
        <v>0.66206456599999997</v>
      </c>
      <c r="F189" s="3">
        <v>10.272471940000001</v>
      </c>
      <c r="G189" s="3">
        <v>6.4390448759999996</v>
      </c>
      <c r="H189" s="3">
        <v>0.55554266799999996</v>
      </c>
      <c r="I189" s="3">
        <v>4.1765712920000002</v>
      </c>
      <c r="J189" s="3">
        <v>10.07149433</v>
      </c>
      <c r="K189" s="3">
        <v>3.9591409070000001</v>
      </c>
      <c r="L189" s="3">
        <v>0.92799218000000006</v>
      </c>
      <c r="M189" s="3">
        <v>2.3826807639999998</v>
      </c>
      <c r="N189" s="3">
        <v>0.49031718699999999</v>
      </c>
      <c r="O189" s="3">
        <v>0.182945688</v>
      </c>
      <c r="P189" s="3">
        <v>6.5162001979999999</v>
      </c>
      <c r="Q189" s="3">
        <v>1.9790316059999999</v>
      </c>
      <c r="R189" s="3">
        <v>5.3252569259999998</v>
      </c>
      <c r="S189" s="3">
        <v>44.542354250000002</v>
      </c>
      <c r="T189" s="3">
        <v>20.80739823</v>
      </c>
      <c r="U189" s="3">
        <v>23.991960729999999</v>
      </c>
      <c r="V189" s="3">
        <v>55.200641040000001</v>
      </c>
      <c r="W189" s="3">
        <v>51.058554440000002</v>
      </c>
      <c r="X189" s="3">
        <v>4.1420865950000003</v>
      </c>
      <c r="Y189">
        <v>51.058554443333328</v>
      </c>
    </row>
    <row r="190" spans="1:25">
      <c r="A190" t="s">
        <v>203</v>
      </c>
      <c r="B190" t="s">
        <v>189</v>
      </c>
      <c r="C190" s="3">
        <v>1.7434067929999999</v>
      </c>
      <c r="D190" s="3">
        <v>0.56771075000000004</v>
      </c>
      <c r="E190" s="3">
        <v>0.66206456599999997</v>
      </c>
      <c r="F190" s="3">
        <v>10.272471940000001</v>
      </c>
      <c r="G190" s="3">
        <v>6.4390448759999996</v>
      </c>
      <c r="H190" s="3">
        <v>0.55554266799999996</v>
      </c>
      <c r="I190" s="3">
        <v>4.1765712920000002</v>
      </c>
      <c r="J190" s="3">
        <v>10.07149433</v>
      </c>
      <c r="K190" s="3">
        <v>3.9591409070000001</v>
      </c>
      <c r="L190" s="3">
        <v>0.92799218000000006</v>
      </c>
      <c r="M190" s="3">
        <v>2.3826807639999998</v>
      </c>
      <c r="N190" s="3">
        <v>0.49031718699999999</v>
      </c>
      <c r="O190" s="3">
        <v>0.182945688</v>
      </c>
      <c r="P190" s="3">
        <v>6.5162001979999999</v>
      </c>
      <c r="Q190" s="3">
        <v>1.9790316059999999</v>
      </c>
      <c r="R190" s="3">
        <v>5.3252569259999998</v>
      </c>
      <c r="S190" s="3">
        <v>44.542354250000002</v>
      </c>
      <c r="T190" s="3">
        <v>20.80739823</v>
      </c>
      <c r="U190" s="3">
        <v>23.991960729999999</v>
      </c>
      <c r="V190" s="3">
        <v>55.200641040000001</v>
      </c>
      <c r="W190" s="3">
        <v>51.058554440000002</v>
      </c>
      <c r="X190" s="3">
        <v>4.1420865950000003</v>
      </c>
      <c r="Y190">
        <v>51.058554443333328</v>
      </c>
    </row>
    <row r="191" spans="1:25">
      <c r="A191" t="s">
        <v>204</v>
      </c>
      <c r="B191" t="s">
        <v>189</v>
      </c>
      <c r="C191" s="3">
        <v>1.3750579469999999</v>
      </c>
      <c r="D191" s="3">
        <v>0.37158086800000001</v>
      </c>
      <c r="E191" s="3">
        <v>0.45890907399999997</v>
      </c>
      <c r="F191" s="3">
        <v>9.7321986819999999</v>
      </c>
      <c r="G191" s="3">
        <v>8.8693392119999999</v>
      </c>
      <c r="H191" s="3">
        <v>0.402390268</v>
      </c>
      <c r="I191" s="3">
        <v>3.45361268</v>
      </c>
      <c r="J191" s="3">
        <v>10.87570753</v>
      </c>
      <c r="K191" s="3">
        <v>5.9613206029999999</v>
      </c>
      <c r="L191" s="3">
        <v>0.59757247499999999</v>
      </c>
      <c r="M191" s="3">
        <v>1.8759395839999999</v>
      </c>
      <c r="N191" s="3">
        <v>0.32068101500000001</v>
      </c>
      <c r="O191" s="3">
        <v>0.17408458099999999</v>
      </c>
      <c r="P191" s="3">
        <v>6.8612753250000003</v>
      </c>
      <c r="Q191" s="3">
        <v>1.7206304429999999</v>
      </c>
      <c r="R191" s="3">
        <v>4.3731219880000003</v>
      </c>
      <c r="S191" s="3">
        <v>42.576577729999997</v>
      </c>
      <c r="T191" s="3">
        <v>18.061052579999998</v>
      </c>
      <c r="U191" s="3">
        <v>26.36568918</v>
      </c>
      <c r="V191" s="3">
        <v>55.573258240000001</v>
      </c>
      <c r="W191" s="3">
        <v>49.437853050000001</v>
      </c>
      <c r="X191" s="3">
        <v>6.1354051849999998</v>
      </c>
      <c r="Y191">
        <v>49.437853050000001</v>
      </c>
    </row>
    <row r="192" spans="1:25">
      <c r="A192" t="s">
        <v>205</v>
      </c>
      <c r="B192" t="s">
        <v>189</v>
      </c>
      <c r="C192" s="3">
        <v>1.3750579469999999</v>
      </c>
      <c r="D192" s="3">
        <v>0.37158086800000001</v>
      </c>
      <c r="E192" s="3">
        <v>0.45890907399999997</v>
      </c>
      <c r="F192" s="3">
        <v>9.7321986819999999</v>
      </c>
      <c r="G192" s="3">
        <v>8.8693392119999999</v>
      </c>
      <c r="H192" s="3">
        <v>0.402390268</v>
      </c>
      <c r="I192" s="3">
        <v>3.45361268</v>
      </c>
      <c r="J192" s="3">
        <v>10.87570753</v>
      </c>
      <c r="K192" s="3">
        <v>5.9613206029999999</v>
      </c>
      <c r="L192" s="3">
        <v>0.59757247499999999</v>
      </c>
      <c r="M192" s="3">
        <v>1.8759395839999999</v>
      </c>
      <c r="N192" s="3">
        <v>0.32068101500000001</v>
      </c>
      <c r="O192" s="3">
        <v>0.17408458099999999</v>
      </c>
      <c r="P192" s="3">
        <v>6.8612753250000003</v>
      </c>
      <c r="Q192" s="3">
        <v>1.7206304429999999</v>
      </c>
      <c r="R192" s="3">
        <v>4.3731219880000003</v>
      </c>
      <c r="S192" s="3">
        <v>42.576577729999997</v>
      </c>
      <c r="T192" s="3">
        <v>18.061052579999998</v>
      </c>
      <c r="U192" s="3">
        <v>26.36568918</v>
      </c>
      <c r="V192" s="3">
        <v>55.573258240000001</v>
      </c>
      <c r="W192" s="3">
        <v>49.437853050000001</v>
      </c>
      <c r="X192" s="3">
        <v>6.1354051849999998</v>
      </c>
      <c r="Y192">
        <v>49.437853050000001</v>
      </c>
    </row>
    <row r="193" spans="1:54">
      <c r="A193" t="s">
        <v>206</v>
      </c>
      <c r="B193" t="s">
        <v>189</v>
      </c>
      <c r="C193" s="3">
        <v>1.3750579469999999</v>
      </c>
      <c r="D193" s="3">
        <v>0.37158086800000001</v>
      </c>
      <c r="E193" s="3">
        <v>0.45890907399999997</v>
      </c>
      <c r="F193" s="3">
        <v>9.7321986819999999</v>
      </c>
      <c r="G193" s="3">
        <v>8.8693392119999999</v>
      </c>
      <c r="H193" s="3">
        <v>0.402390268</v>
      </c>
      <c r="I193" s="3">
        <v>3.45361268</v>
      </c>
      <c r="J193" s="3">
        <v>10.87570753</v>
      </c>
      <c r="K193" s="3">
        <v>5.9613206029999999</v>
      </c>
      <c r="L193" s="3">
        <v>0.59757247499999999</v>
      </c>
      <c r="M193" s="3">
        <v>1.8759395839999999</v>
      </c>
      <c r="N193" s="3">
        <v>0.32068101500000001</v>
      </c>
      <c r="O193" s="3">
        <v>0.17408458099999999</v>
      </c>
      <c r="P193" s="3">
        <v>6.8612753250000003</v>
      </c>
      <c r="Q193" s="3">
        <v>1.7206304429999999</v>
      </c>
      <c r="R193" s="3">
        <v>4.3731219880000003</v>
      </c>
      <c r="S193" s="3">
        <v>42.576577729999997</v>
      </c>
      <c r="T193" s="3">
        <v>18.061052579999998</v>
      </c>
      <c r="U193" s="3">
        <v>26.36568918</v>
      </c>
      <c r="V193" s="3">
        <v>55.573258240000001</v>
      </c>
      <c r="W193" s="3">
        <v>49.437853050000001</v>
      </c>
      <c r="X193" s="3">
        <v>6.1354051849999998</v>
      </c>
      <c r="Y193">
        <v>49.437853050000001</v>
      </c>
    </row>
    <row r="194" spans="1:54">
      <c r="A194" t="s">
        <v>207</v>
      </c>
      <c r="B194" t="s">
        <v>189</v>
      </c>
      <c r="C194" s="3">
        <v>1.578750428</v>
      </c>
      <c r="D194" s="3">
        <v>0.488136666</v>
      </c>
      <c r="E194" s="3">
        <v>0.59818059599999995</v>
      </c>
      <c r="F194" s="3">
        <v>10.48628136</v>
      </c>
      <c r="G194" s="3">
        <v>7.6641652090000001</v>
      </c>
      <c r="H194" s="3">
        <v>0.46875950399999999</v>
      </c>
      <c r="I194" s="3">
        <v>4.0199137580000004</v>
      </c>
      <c r="J194" s="3">
        <v>8.8641786880000009</v>
      </c>
      <c r="K194" s="3">
        <v>4.4406430639999996</v>
      </c>
      <c r="L194" s="3">
        <v>0.78674867900000001</v>
      </c>
      <c r="M194" s="3">
        <v>0.89278749599999996</v>
      </c>
      <c r="N194" s="3">
        <v>0.41476087299999997</v>
      </c>
      <c r="O194" s="3">
        <v>0.19548990099999999</v>
      </c>
      <c r="P194" s="3">
        <v>8.0886523609999994</v>
      </c>
      <c r="Q194" s="3">
        <v>1.987919113</v>
      </c>
      <c r="R194" s="3">
        <v>4.7799880010000004</v>
      </c>
      <c r="S194" s="3">
        <v>44.244644299999997</v>
      </c>
      <c r="T194" s="3">
        <v>20.341314310000001</v>
      </c>
      <c r="U194" s="3">
        <v>22.689256060000002</v>
      </c>
      <c r="V194" s="3">
        <v>56.96942963</v>
      </c>
      <c r="W194" s="3">
        <v>52.333296660000002</v>
      </c>
      <c r="X194" s="3">
        <v>4.6361329639999997</v>
      </c>
      <c r="Y194">
        <v>52.333296663333329</v>
      </c>
    </row>
    <row r="195" spans="1:54">
      <c r="A195" t="s">
        <v>208</v>
      </c>
      <c r="B195" t="s">
        <v>189</v>
      </c>
      <c r="C195" s="3">
        <v>1.578750428</v>
      </c>
      <c r="D195" s="3">
        <v>0.488136666</v>
      </c>
      <c r="E195" s="3">
        <v>0.59818059599999995</v>
      </c>
      <c r="F195" s="3">
        <v>10.48628136</v>
      </c>
      <c r="G195" s="3">
        <v>7.6641652090000001</v>
      </c>
      <c r="H195" s="3">
        <v>0.46875950399999999</v>
      </c>
      <c r="I195" s="3">
        <v>4.0199137580000004</v>
      </c>
      <c r="J195" s="3">
        <v>8.8641786880000009</v>
      </c>
      <c r="K195" s="3">
        <v>4.4406430639999996</v>
      </c>
      <c r="L195" s="3">
        <v>0.78674867900000001</v>
      </c>
      <c r="M195" s="3">
        <v>0.89278749599999996</v>
      </c>
      <c r="N195" s="3">
        <v>0.41476087299999997</v>
      </c>
      <c r="O195" s="3">
        <v>0.19548990099999999</v>
      </c>
      <c r="P195" s="3">
        <v>8.0886523609999994</v>
      </c>
      <c r="Q195" s="3">
        <v>1.987919113</v>
      </c>
      <c r="R195" s="3">
        <v>4.7799880010000004</v>
      </c>
      <c r="S195" s="3">
        <v>44.244644299999997</v>
      </c>
      <c r="T195" s="3">
        <v>20.341314310000001</v>
      </c>
      <c r="U195" s="3">
        <v>22.689256060000002</v>
      </c>
      <c r="V195" s="3">
        <v>56.96942963</v>
      </c>
      <c r="W195" s="3">
        <v>52.333296660000002</v>
      </c>
      <c r="X195" s="3">
        <v>4.6361329639999997</v>
      </c>
      <c r="Y195">
        <v>52.333296663333329</v>
      </c>
    </row>
    <row r="196" spans="1:54">
      <c r="A196" t="s">
        <v>209</v>
      </c>
      <c r="B196" t="s">
        <v>189</v>
      </c>
      <c r="C196" s="3">
        <v>1.578750428</v>
      </c>
      <c r="D196" s="3">
        <v>0.488136666</v>
      </c>
      <c r="E196" s="3">
        <v>0.59818059599999995</v>
      </c>
      <c r="F196" s="3">
        <v>10.48628136</v>
      </c>
      <c r="G196" s="3">
        <v>7.6641652090000001</v>
      </c>
      <c r="H196" s="3">
        <v>0.46875950399999999</v>
      </c>
      <c r="I196" s="3">
        <v>4.0199137580000004</v>
      </c>
      <c r="J196" s="3">
        <v>8.8641786880000009</v>
      </c>
      <c r="K196" s="3">
        <v>4.4406430639999996</v>
      </c>
      <c r="L196" s="3">
        <v>0.78674867900000001</v>
      </c>
      <c r="M196" s="3">
        <v>0.89278749599999996</v>
      </c>
      <c r="N196" s="3">
        <v>0.41476087299999997</v>
      </c>
      <c r="O196" s="3">
        <v>0.19548990099999999</v>
      </c>
      <c r="P196" s="3">
        <v>8.0886523609999994</v>
      </c>
      <c r="Q196" s="3">
        <v>1.987919113</v>
      </c>
      <c r="R196" s="3">
        <v>4.7799880010000004</v>
      </c>
      <c r="S196" s="3">
        <v>44.244644299999997</v>
      </c>
      <c r="T196" s="3">
        <v>20.341314310000001</v>
      </c>
      <c r="U196" s="3">
        <v>22.689256060000002</v>
      </c>
      <c r="V196" s="3">
        <v>56.96942963</v>
      </c>
      <c r="W196" s="3">
        <v>52.333296660000002</v>
      </c>
      <c r="X196" s="3">
        <v>4.6361329639999997</v>
      </c>
      <c r="Y196">
        <v>52.333296663333329</v>
      </c>
    </row>
    <row r="197" spans="1:54">
      <c r="A197" t="s">
        <v>210</v>
      </c>
      <c r="B197" t="s">
        <v>189</v>
      </c>
      <c r="C197" s="3">
        <v>1.3353947740000001</v>
      </c>
      <c r="D197" s="3">
        <v>0.326942173</v>
      </c>
      <c r="E197" s="3">
        <v>0.42349272900000001</v>
      </c>
      <c r="F197" s="3">
        <v>9.9100387790000006</v>
      </c>
      <c r="G197" s="3">
        <v>6.9714498020000004</v>
      </c>
      <c r="H197" s="3">
        <v>0.415985459</v>
      </c>
      <c r="I197" s="3">
        <v>3.5535126250000002</v>
      </c>
      <c r="J197" s="3">
        <v>8.1861612130000001</v>
      </c>
      <c r="K197" s="3">
        <v>4.6698442919999996</v>
      </c>
      <c r="L197" s="3">
        <v>0.55239185899999999</v>
      </c>
      <c r="M197" s="3">
        <v>1.0069474780000001</v>
      </c>
      <c r="N197" s="3">
        <v>0.292573951</v>
      </c>
      <c r="O197" s="3">
        <v>0.14919131999999999</v>
      </c>
      <c r="P197" s="3">
        <v>8.8417214220000009</v>
      </c>
      <c r="Q197" s="3">
        <v>1.8791199750000001</v>
      </c>
      <c r="R197" s="3">
        <v>4.5430132399999996</v>
      </c>
      <c r="S197" s="3">
        <v>46.942218910000001</v>
      </c>
      <c r="T197" s="3">
        <v>18.362510149999999</v>
      </c>
      <c r="U197" s="3">
        <v>21.034513910000001</v>
      </c>
      <c r="V197" s="3">
        <v>60.60297594</v>
      </c>
      <c r="W197" s="3">
        <v>55.78394033</v>
      </c>
      <c r="X197" s="3">
        <v>4.8190356129999996</v>
      </c>
      <c r="Y197">
        <v>55.783940333333327</v>
      </c>
    </row>
    <row r="198" spans="1:54">
      <c r="A198" t="s">
        <v>211</v>
      </c>
      <c r="B198" t="s">
        <v>189</v>
      </c>
      <c r="C198" s="3">
        <v>1.3353947740000001</v>
      </c>
      <c r="D198" s="3">
        <v>0.326942173</v>
      </c>
      <c r="E198" s="3">
        <v>0.42349272900000001</v>
      </c>
      <c r="F198" s="3">
        <v>9.9100387790000006</v>
      </c>
      <c r="G198" s="3">
        <v>6.9714498020000004</v>
      </c>
      <c r="H198" s="3">
        <v>0.415985459</v>
      </c>
      <c r="I198" s="3">
        <v>3.5535126250000002</v>
      </c>
      <c r="J198" s="3">
        <v>8.1861612130000001</v>
      </c>
      <c r="K198" s="3">
        <v>4.6698442919999996</v>
      </c>
      <c r="L198" s="3">
        <v>0.55239185899999999</v>
      </c>
      <c r="M198" s="3">
        <v>1.0069474780000001</v>
      </c>
      <c r="N198" s="3">
        <v>0.292573951</v>
      </c>
      <c r="O198" s="3">
        <v>0.14919131999999999</v>
      </c>
      <c r="P198" s="3">
        <v>8.8417214220000009</v>
      </c>
      <c r="Q198" s="3">
        <v>1.8791199750000001</v>
      </c>
      <c r="R198" s="3">
        <v>4.5430132399999996</v>
      </c>
      <c r="S198" s="3">
        <v>46.942218910000001</v>
      </c>
      <c r="T198" s="3">
        <v>18.362510149999999</v>
      </c>
      <c r="U198" s="3">
        <v>21.034513910000001</v>
      </c>
      <c r="V198" s="3">
        <v>60.60297594</v>
      </c>
      <c r="W198" s="3">
        <v>55.78394033</v>
      </c>
      <c r="X198" s="3">
        <v>4.8190356129999996</v>
      </c>
      <c r="Y198">
        <v>55.783940333333327</v>
      </c>
    </row>
    <row r="199" spans="1:54">
      <c r="A199" t="s">
        <v>212</v>
      </c>
      <c r="B199" t="s">
        <v>189</v>
      </c>
      <c r="C199" s="3">
        <v>1.3353947740000001</v>
      </c>
      <c r="D199" s="3">
        <v>0.326942173</v>
      </c>
      <c r="E199" s="3">
        <v>0.42349272900000001</v>
      </c>
      <c r="F199" s="3">
        <v>9.9100387790000006</v>
      </c>
      <c r="G199" s="3">
        <v>6.9714498020000004</v>
      </c>
      <c r="H199" s="3">
        <v>0.415985459</v>
      </c>
      <c r="I199" s="3">
        <v>3.5535126250000002</v>
      </c>
      <c r="J199" s="3">
        <v>8.1861612130000001</v>
      </c>
      <c r="K199" s="3">
        <v>4.6698442919999996</v>
      </c>
      <c r="L199" s="3">
        <v>0.55239185899999999</v>
      </c>
      <c r="M199" s="3">
        <v>1.0069474780000001</v>
      </c>
      <c r="N199" s="3">
        <v>0.292573951</v>
      </c>
      <c r="O199" s="3">
        <v>0.14919131999999999</v>
      </c>
      <c r="P199" s="3">
        <v>8.8417214220000009</v>
      </c>
      <c r="Q199" s="3">
        <v>1.8791199750000001</v>
      </c>
      <c r="R199" s="3">
        <v>4.5430132399999996</v>
      </c>
      <c r="S199" s="3">
        <v>46.942218910000001</v>
      </c>
      <c r="T199" s="3">
        <v>18.362510149999999</v>
      </c>
      <c r="U199" s="3">
        <v>21.034513910000001</v>
      </c>
      <c r="V199" s="3">
        <v>60.60297594</v>
      </c>
      <c r="W199" s="3">
        <v>55.78394033</v>
      </c>
      <c r="X199" s="3">
        <v>4.8190356129999996</v>
      </c>
      <c r="Y199">
        <v>55.783940333333327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</row>
    <row r="200" spans="1:54">
      <c r="A200" t="s">
        <v>213</v>
      </c>
      <c r="B200" t="s">
        <v>189</v>
      </c>
      <c r="C200" s="3">
        <v>1.6803680000000001</v>
      </c>
      <c r="D200" s="3">
        <v>0.43121845199999997</v>
      </c>
      <c r="E200" s="3">
        <v>0.51785601299999995</v>
      </c>
      <c r="F200" s="3">
        <v>9.9248724349999993</v>
      </c>
      <c r="G200" s="3">
        <v>10.21586443</v>
      </c>
      <c r="H200" s="3">
        <v>0.43890404700000002</v>
      </c>
      <c r="I200" s="3">
        <v>3.1855801069999998</v>
      </c>
      <c r="J200" s="3">
        <v>6.9917807930000002</v>
      </c>
      <c r="K200" s="3">
        <v>4.3437552149999998</v>
      </c>
      <c r="L200" s="3">
        <v>0.69107174400000004</v>
      </c>
      <c r="M200" s="3">
        <v>1.5303982789999999</v>
      </c>
      <c r="N200" s="3">
        <v>0.35475753399999999</v>
      </c>
      <c r="O200" s="3">
        <v>0.19534728600000001</v>
      </c>
      <c r="P200" s="3">
        <v>8.3129724459999998</v>
      </c>
      <c r="Q200" s="3">
        <v>1.864540737</v>
      </c>
      <c r="R200" s="3">
        <v>4.4091595400000001</v>
      </c>
      <c r="S200" s="3">
        <v>44.911552950000001</v>
      </c>
      <c r="T200" s="3">
        <v>18.657950620000001</v>
      </c>
      <c r="U200" s="3">
        <v>23.57842149</v>
      </c>
      <c r="V200" s="3">
        <v>57.763627900000003</v>
      </c>
      <c r="W200" s="3">
        <v>53.224525389999997</v>
      </c>
      <c r="X200" s="3">
        <v>4.5391025010000003</v>
      </c>
      <c r="Y200">
        <v>53.22452539333333</v>
      </c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</row>
    <row r="201" spans="1:54">
      <c r="A201" t="s">
        <v>214</v>
      </c>
      <c r="B201" t="s">
        <v>189</v>
      </c>
      <c r="C201" s="3">
        <v>1.6803680000000001</v>
      </c>
      <c r="D201" s="3">
        <v>0.43121845199999997</v>
      </c>
      <c r="E201" s="3">
        <v>0.51785601299999995</v>
      </c>
      <c r="F201" s="3">
        <v>9.9248724349999993</v>
      </c>
      <c r="G201" s="3">
        <v>10.21586443</v>
      </c>
      <c r="H201" s="3">
        <v>0.43890404700000002</v>
      </c>
      <c r="I201" s="3">
        <v>3.1855801069999998</v>
      </c>
      <c r="J201" s="3">
        <v>6.9917807930000002</v>
      </c>
      <c r="K201" s="3">
        <v>4.3437552149999998</v>
      </c>
      <c r="L201" s="3">
        <v>0.69107174400000004</v>
      </c>
      <c r="M201" s="3">
        <v>1.5303982789999999</v>
      </c>
      <c r="N201" s="3">
        <v>0.35475753399999999</v>
      </c>
      <c r="O201" s="3">
        <v>0.19534728600000001</v>
      </c>
      <c r="P201" s="3">
        <v>8.3129724459999998</v>
      </c>
      <c r="Q201" s="3">
        <v>1.864540737</v>
      </c>
      <c r="R201" s="3">
        <v>4.4091595400000001</v>
      </c>
      <c r="S201" s="3">
        <v>44.911552950000001</v>
      </c>
      <c r="T201" s="3">
        <v>18.657950620000001</v>
      </c>
      <c r="U201" s="3">
        <v>23.57842149</v>
      </c>
      <c r="V201" s="3">
        <v>57.763627900000003</v>
      </c>
      <c r="W201" s="3">
        <v>53.224525389999997</v>
      </c>
      <c r="X201" s="3">
        <v>4.5391025010000003</v>
      </c>
      <c r="Y201">
        <v>53.22452539333333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</row>
    <row r="202" spans="1:54">
      <c r="A202" t="s">
        <v>215</v>
      </c>
      <c r="B202" t="s">
        <v>189</v>
      </c>
      <c r="C202" s="3">
        <v>1.6803680000000001</v>
      </c>
      <c r="D202" s="3">
        <v>0.43121845199999997</v>
      </c>
      <c r="E202" s="3">
        <v>0.51785601299999995</v>
      </c>
      <c r="F202" s="3">
        <v>9.9248724349999993</v>
      </c>
      <c r="G202" s="3">
        <v>10.21586443</v>
      </c>
      <c r="H202" s="3">
        <v>0.43890404700000002</v>
      </c>
      <c r="I202" s="3">
        <v>3.1855801069999998</v>
      </c>
      <c r="J202" s="3">
        <v>6.9917807930000002</v>
      </c>
      <c r="K202" s="3">
        <v>4.3437552149999998</v>
      </c>
      <c r="L202" s="3">
        <v>0.69107174400000004</v>
      </c>
      <c r="M202" s="3">
        <v>1.5303982789999999</v>
      </c>
      <c r="N202" s="3">
        <v>0.35475753399999999</v>
      </c>
      <c r="O202" s="3">
        <v>0.19534728600000001</v>
      </c>
      <c r="P202" s="3">
        <v>8.3129724459999998</v>
      </c>
      <c r="Q202" s="3">
        <v>1.864540737</v>
      </c>
      <c r="R202" s="3">
        <v>4.4091595400000001</v>
      </c>
      <c r="S202" s="3">
        <v>44.911552950000001</v>
      </c>
      <c r="T202" s="3">
        <v>18.657950620000001</v>
      </c>
      <c r="U202" s="3">
        <v>23.57842149</v>
      </c>
      <c r="V202" s="3">
        <v>57.763627900000003</v>
      </c>
      <c r="W202" s="3">
        <v>53.224525389999997</v>
      </c>
      <c r="X202" s="3">
        <v>4.5391025010000003</v>
      </c>
      <c r="Y202">
        <v>53.22452539333333</v>
      </c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</row>
    <row r="203" spans="1:54">
      <c r="A203" t="s">
        <v>216</v>
      </c>
      <c r="B203" t="s">
        <v>189</v>
      </c>
      <c r="C203" s="3">
        <v>1.7630289860000001</v>
      </c>
      <c r="D203" s="3">
        <v>0.55614078600000005</v>
      </c>
      <c r="E203" s="3">
        <v>0.72643884299999995</v>
      </c>
      <c r="F203" s="3">
        <v>8.8937351830000004</v>
      </c>
      <c r="G203" s="3">
        <v>5.7473741524999999</v>
      </c>
      <c r="H203" s="3">
        <v>0.50636126149999994</v>
      </c>
      <c r="I203" s="3">
        <v>3.4091155940000002</v>
      </c>
      <c r="J203" s="3">
        <v>8.1902463640000001</v>
      </c>
      <c r="K203" s="3">
        <v>2.9560655475000002</v>
      </c>
      <c r="L203" s="3">
        <v>1.1056190724999999</v>
      </c>
      <c r="M203" s="3">
        <v>2.5917375309999997</v>
      </c>
      <c r="N203" s="3">
        <v>0.57212133500000006</v>
      </c>
      <c r="O203" s="3">
        <v>0.18005517999999998</v>
      </c>
      <c r="P203" s="3">
        <v>8.9889753594999995</v>
      </c>
      <c r="Q203" s="3">
        <v>2.0951752035000002</v>
      </c>
      <c r="R203" s="3">
        <v>5.6349643609999998</v>
      </c>
      <c r="S203" s="3">
        <v>46.360915634999998</v>
      </c>
      <c r="T203" s="3">
        <v>19.071595479999999</v>
      </c>
      <c r="U203" s="3">
        <v>22.4423928</v>
      </c>
      <c r="V203" s="3">
        <v>58.48601172</v>
      </c>
      <c r="W203" s="3">
        <v>55.349890994999996</v>
      </c>
      <c r="X203" s="3">
        <v>3.1361207269999998</v>
      </c>
      <c r="Y203">
        <v>55.349890994999996</v>
      </c>
    </row>
    <row r="204" spans="1:54">
      <c r="A204" t="s">
        <v>217</v>
      </c>
      <c r="B204" t="s">
        <v>189</v>
      </c>
      <c r="C204" s="3">
        <v>1.7630289860000001</v>
      </c>
      <c r="D204" s="3">
        <v>0.55614078600000005</v>
      </c>
      <c r="E204" s="3">
        <v>0.72643884299999995</v>
      </c>
      <c r="F204" s="3">
        <v>8.8937351830000004</v>
      </c>
      <c r="G204" s="3">
        <v>5.7473741524999999</v>
      </c>
      <c r="H204" s="3">
        <v>0.50636126149999994</v>
      </c>
      <c r="I204" s="3">
        <v>3.4091155940000002</v>
      </c>
      <c r="J204" s="3">
        <v>8.1902463640000001</v>
      </c>
      <c r="K204" s="3">
        <v>2.9560655475000002</v>
      </c>
      <c r="L204" s="3">
        <v>1.1056190724999999</v>
      </c>
      <c r="M204" s="3">
        <v>2.5917375309999997</v>
      </c>
      <c r="N204" s="3">
        <v>0.57212133500000006</v>
      </c>
      <c r="O204" s="3">
        <v>0.18005517999999998</v>
      </c>
      <c r="P204" s="3">
        <v>8.9889753594999995</v>
      </c>
      <c r="Q204" s="3">
        <v>2.0951752035000002</v>
      </c>
      <c r="R204" s="3">
        <v>5.6349643609999998</v>
      </c>
      <c r="S204" s="3">
        <v>46.360915634999998</v>
      </c>
      <c r="T204" s="3">
        <v>19.071595479999999</v>
      </c>
      <c r="U204" s="3">
        <v>22.4423928</v>
      </c>
      <c r="V204" s="3">
        <v>58.48601172</v>
      </c>
      <c r="W204" s="3">
        <v>55.349890994999996</v>
      </c>
      <c r="X204" s="3">
        <v>3.1361207269999998</v>
      </c>
      <c r="Y204">
        <v>55.349890994999996</v>
      </c>
    </row>
    <row r="205" spans="1:54">
      <c r="A205" t="s">
        <v>218</v>
      </c>
      <c r="B205" t="s">
        <v>189</v>
      </c>
      <c r="C205" s="3">
        <v>1.7630289860000001</v>
      </c>
      <c r="D205" s="3">
        <v>0.55614078600000005</v>
      </c>
      <c r="E205" s="3">
        <v>0.72643884299999995</v>
      </c>
      <c r="F205" s="3">
        <v>8.8937351830000004</v>
      </c>
      <c r="G205" s="3">
        <v>5.7473741524999999</v>
      </c>
      <c r="H205" s="3">
        <v>0.50636126149999994</v>
      </c>
      <c r="I205" s="3">
        <v>3.4091155940000002</v>
      </c>
      <c r="J205" s="3">
        <v>8.1902463640000001</v>
      </c>
      <c r="K205" s="3">
        <v>2.9560655475000002</v>
      </c>
      <c r="L205" s="3">
        <v>1.1056190724999999</v>
      </c>
      <c r="M205" s="3">
        <v>2.5917375309999997</v>
      </c>
      <c r="N205" s="3">
        <v>0.57212133500000006</v>
      </c>
      <c r="O205" s="3">
        <v>0.18005517999999998</v>
      </c>
      <c r="P205" s="3">
        <v>8.9889753594999995</v>
      </c>
      <c r="Q205" s="3">
        <v>2.0951752035000002</v>
      </c>
      <c r="R205" s="3">
        <v>5.6349643609999998</v>
      </c>
      <c r="S205" s="3">
        <v>46.360915634999998</v>
      </c>
      <c r="T205" s="3">
        <v>19.071595479999999</v>
      </c>
      <c r="U205" s="3">
        <v>22.4423928</v>
      </c>
      <c r="V205" s="3">
        <v>58.48601172</v>
      </c>
      <c r="W205" s="3">
        <v>55.349890994999996</v>
      </c>
      <c r="X205" s="3">
        <v>3.1361207269999998</v>
      </c>
      <c r="Y205">
        <v>55.349890994999996</v>
      </c>
    </row>
    <row r="206" spans="1:54">
      <c r="A206" t="s">
        <v>219</v>
      </c>
      <c r="B206" t="s">
        <v>189</v>
      </c>
      <c r="C206" s="3">
        <v>1.3314506770000001</v>
      </c>
      <c r="D206" s="3">
        <v>0.371707287</v>
      </c>
      <c r="E206" s="3">
        <v>0.46408948900000002</v>
      </c>
      <c r="F206" s="3">
        <v>10.132211209999999</v>
      </c>
      <c r="G206" s="3">
        <v>6.6704082519999996</v>
      </c>
      <c r="H206" s="3">
        <v>0.43698727500000001</v>
      </c>
      <c r="I206" s="3">
        <v>3.8016036550000001</v>
      </c>
      <c r="J206" s="3">
        <v>8.6909939170000001</v>
      </c>
      <c r="K206" s="3">
        <v>2.8265252630000002</v>
      </c>
      <c r="L206" s="3">
        <v>0.64301687100000005</v>
      </c>
      <c r="M206" s="3">
        <v>0.36188451399999999</v>
      </c>
      <c r="N206" s="3">
        <v>0.39354940900000002</v>
      </c>
      <c r="O206" s="3">
        <v>0.20925775799999999</v>
      </c>
      <c r="P206" s="3">
        <v>7.7517464560000002</v>
      </c>
      <c r="Q206" s="3">
        <v>1.7774698769999999</v>
      </c>
      <c r="R206" s="3">
        <v>4.0013184989999999</v>
      </c>
      <c r="S206" s="3">
        <v>50.639402199999999</v>
      </c>
      <c r="T206" s="3">
        <v>18.7180122</v>
      </c>
      <c r="U206" s="3">
        <v>19.855056130000001</v>
      </c>
      <c r="V206" s="3">
        <v>61.426931680000003</v>
      </c>
      <c r="W206" s="3">
        <v>58.391148659999999</v>
      </c>
      <c r="X206" s="3">
        <v>3.0357830219999999</v>
      </c>
      <c r="Y206">
        <v>58.391148656666672</v>
      </c>
    </row>
    <row r="207" spans="1:54">
      <c r="A207" t="s">
        <v>220</v>
      </c>
      <c r="B207" t="s">
        <v>189</v>
      </c>
      <c r="C207" s="3">
        <v>1.3314506770000001</v>
      </c>
      <c r="D207" s="3">
        <v>0.371707287</v>
      </c>
      <c r="E207" s="3">
        <v>0.46408948900000002</v>
      </c>
      <c r="F207" s="3">
        <v>10.132211209999999</v>
      </c>
      <c r="G207" s="3">
        <v>6.6704082519999996</v>
      </c>
      <c r="H207" s="3">
        <v>0.43698727500000001</v>
      </c>
      <c r="I207" s="3">
        <v>3.8016036550000001</v>
      </c>
      <c r="J207" s="3">
        <v>8.6909939170000001</v>
      </c>
      <c r="K207" s="3">
        <v>2.8265252630000002</v>
      </c>
      <c r="L207" s="3">
        <v>0.64301687100000005</v>
      </c>
      <c r="M207" s="3">
        <v>0.36188451399999999</v>
      </c>
      <c r="N207" s="3">
        <v>0.39354940900000002</v>
      </c>
      <c r="O207" s="3">
        <v>0.20925775799999999</v>
      </c>
      <c r="P207" s="3">
        <v>7.7517464560000002</v>
      </c>
      <c r="Q207" s="3">
        <v>1.7774698769999999</v>
      </c>
      <c r="R207" s="3">
        <v>4.0013184989999999</v>
      </c>
      <c r="S207" s="3">
        <v>50.639402199999999</v>
      </c>
      <c r="T207" s="3">
        <v>18.7180122</v>
      </c>
      <c r="U207" s="3">
        <v>19.855056130000001</v>
      </c>
      <c r="V207" s="3">
        <v>61.426931680000003</v>
      </c>
      <c r="W207" s="3">
        <v>58.391148659999999</v>
      </c>
      <c r="X207" s="3">
        <v>3.0357830219999999</v>
      </c>
      <c r="Y207">
        <v>58.391148656666672</v>
      </c>
    </row>
    <row r="208" spans="1:54">
      <c r="A208" t="s">
        <v>221</v>
      </c>
      <c r="B208" t="s">
        <v>189</v>
      </c>
      <c r="C208" s="3">
        <v>1.3314506770000001</v>
      </c>
      <c r="D208" s="3">
        <v>0.371707287</v>
      </c>
      <c r="E208" s="3">
        <v>0.46408948900000002</v>
      </c>
      <c r="F208" s="3">
        <v>10.132211209999999</v>
      </c>
      <c r="G208" s="3">
        <v>6.6704082519999996</v>
      </c>
      <c r="H208" s="3">
        <v>0.43698727500000001</v>
      </c>
      <c r="I208" s="3">
        <v>3.8016036550000001</v>
      </c>
      <c r="J208" s="3">
        <v>8.6909939170000001</v>
      </c>
      <c r="K208" s="3">
        <v>2.8265252630000002</v>
      </c>
      <c r="L208" s="3">
        <v>0.64301687100000005</v>
      </c>
      <c r="M208" s="3">
        <v>0.36188451399999999</v>
      </c>
      <c r="N208" s="3">
        <v>0.39354940900000002</v>
      </c>
      <c r="O208" s="3">
        <v>0.20925775799999999</v>
      </c>
      <c r="P208" s="3">
        <v>7.7517464560000002</v>
      </c>
      <c r="Q208" s="3">
        <v>1.7774698769999999</v>
      </c>
      <c r="R208" s="3">
        <v>4.0013184989999999</v>
      </c>
      <c r="S208" s="3">
        <v>50.639402199999999</v>
      </c>
      <c r="T208" s="3">
        <v>18.7180122</v>
      </c>
      <c r="U208" s="3">
        <v>19.855056130000001</v>
      </c>
      <c r="V208" s="3">
        <v>61.426931680000003</v>
      </c>
      <c r="W208" s="3">
        <v>58.391148659999999</v>
      </c>
      <c r="X208" s="3">
        <v>3.0357830219999999</v>
      </c>
      <c r="Y208">
        <v>58.391148656666672</v>
      </c>
    </row>
    <row r="209" spans="1:25">
      <c r="A209" t="s">
        <v>222</v>
      </c>
      <c r="B209" t="s">
        <v>189</v>
      </c>
      <c r="C209" s="3">
        <v>1.574212867</v>
      </c>
      <c r="D209" s="3">
        <v>0.336153286</v>
      </c>
      <c r="E209" s="3">
        <v>0.43206453</v>
      </c>
      <c r="F209" s="3">
        <v>9.9235039549999993</v>
      </c>
      <c r="G209" s="3">
        <v>12.6345972</v>
      </c>
      <c r="H209" s="3">
        <v>0.46450596300000002</v>
      </c>
      <c r="I209" s="3">
        <v>3.3343772110000001</v>
      </c>
      <c r="J209" s="3">
        <v>7.8855693579999997</v>
      </c>
      <c r="K209" s="3">
        <v>3.4150187320000001</v>
      </c>
      <c r="L209" s="3">
        <v>0.58821664900000004</v>
      </c>
      <c r="M209" s="3">
        <v>0.62105360300000001</v>
      </c>
      <c r="N209" s="3">
        <v>0.29832516799999997</v>
      </c>
      <c r="O209" s="3">
        <v>0.21410457299999999</v>
      </c>
      <c r="P209" s="3">
        <v>7.0244777359999997</v>
      </c>
      <c r="Q209" s="3">
        <v>1.7077453419999999</v>
      </c>
      <c r="R209" s="3">
        <v>4.4250329260000001</v>
      </c>
      <c r="S209" s="3">
        <v>45.121040899999997</v>
      </c>
      <c r="T209" s="3">
        <v>18.32295169</v>
      </c>
      <c r="U209" s="3">
        <v>25.902406370000001</v>
      </c>
      <c r="V209" s="3">
        <v>55.774641940000002</v>
      </c>
      <c r="W209" s="3">
        <v>52.145518639999999</v>
      </c>
      <c r="X209" s="3">
        <v>3.6291233059999999</v>
      </c>
      <c r="Y209">
        <v>52.145518636666672</v>
      </c>
    </row>
    <row r="210" spans="1:25">
      <c r="A210" t="s">
        <v>223</v>
      </c>
      <c r="B210" t="s">
        <v>189</v>
      </c>
      <c r="C210" s="3">
        <v>1.574212867</v>
      </c>
      <c r="D210" s="3">
        <v>0.336153286</v>
      </c>
      <c r="E210" s="3">
        <v>0.43206453</v>
      </c>
      <c r="F210" s="3">
        <v>9.9235039549999993</v>
      </c>
      <c r="G210" s="3">
        <v>12.6345972</v>
      </c>
      <c r="H210" s="3">
        <v>0.46450596300000002</v>
      </c>
      <c r="I210" s="3">
        <v>3.3343772110000001</v>
      </c>
      <c r="J210" s="3">
        <v>7.8855693579999997</v>
      </c>
      <c r="K210" s="3">
        <v>3.4150187320000001</v>
      </c>
      <c r="L210" s="3">
        <v>0.58821664900000004</v>
      </c>
      <c r="M210" s="3">
        <v>0.62105360300000001</v>
      </c>
      <c r="N210" s="3">
        <v>0.29832516799999997</v>
      </c>
      <c r="O210" s="3">
        <v>0.21410457299999999</v>
      </c>
      <c r="P210" s="3">
        <v>7.0244777359999997</v>
      </c>
      <c r="Q210" s="3">
        <v>1.7077453419999999</v>
      </c>
      <c r="R210" s="3">
        <v>4.4250329260000001</v>
      </c>
      <c r="S210" s="3">
        <v>45.121040899999997</v>
      </c>
      <c r="T210" s="3">
        <v>18.32295169</v>
      </c>
      <c r="U210" s="3">
        <v>25.902406370000001</v>
      </c>
      <c r="V210" s="3">
        <v>55.774641940000002</v>
      </c>
      <c r="W210" s="3">
        <v>52.145518639999999</v>
      </c>
      <c r="X210" s="3">
        <v>3.6291233059999999</v>
      </c>
      <c r="Y210">
        <v>52.145518636666672</v>
      </c>
    </row>
    <row r="211" spans="1:25">
      <c r="A211" t="s">
        <v>224</v>
      </c>
      <c r="B211" t="s">
        <v>189</v>
      </c>
      <c r="C211" s="3">
        <v>1.574212867</v>
      </c>
      <c r="D211" s="3">
        <v>0.336153286</v>
      </c>
      <c r="E211" s="3">
        <v>0.43206453</v>
      </c>
      <c r="F211" s="3">
        <v>9.9235039549999993</v>
      </c>
      <c r="G211" s="3">
        <v>12.6345972</v>
      </c>
      <c r="H211" s="3">
        <v>0.46450596300000002</v>
      </c>
      <c r="I211" s="3">
        <v>3.3343772110000001</v>
      </c>
      <c r="J211" s="3">
        <v>7.8855693579999997</v>
      </c>
      <c r="K211" s="3">
        <v>3.4150187320000001</v>
      </c>
      <c r="L211" s="3">
        <v>0.58821664900000004</v>
      </c>
      <c r="M211" s="3">
        <v>0.62105360300000001</v>
      </c>
      <c r="N211" s="3">
        <v>0.29832516799999997</v>
      </c>
      <c r="O211" s="3">
        <v>0.21410457299999999</v>
      </c>
      <c r="P211" s="3">
        <v>7.0244777359999997</v>
      </c>
      <c r="Q211" s="3">
        <v>1.7077453419999999</v>
      </c>
      <c r="R211" s="3">
        <v>4.4250329260000001</v>
      </c>
      <c r="S211" s="3">
        <v>45.121040899999997</v>
      </c>
      <c r="T211" s="3">
        <v>18.32295169</v>
      </c>
      <c r="U211" s="3">
        <v>25.902406370000001</v>
      </c>
      <c r="V211" s="3">
        <v>55.774641940000002</v>
      </c>
      <c r="W211" s="3">
        <v>52.145518639999999</v>
      </c>
      <c r="X211" s="3">
        <v>3.6291233059999999</v>
      </c>
      <c r="Y211">
        <v>52.145518636666672</v>
      </c>
    </row>
    <row r="212" spans="1:25">
      <c r="A212" t="s">
        <v>225</v>
      </c>
      <c r="B212" t="s">
        <v>189</v>
      </c>
      <c r="C212" s="3">
        <v>1.587682206</v>
      </c>
      <c r="D212" s="3">
        <v>0.34630844500000002</v>
      </c>
      <c r="E212" s="3">
        <v>0.45376318599999999</v>
      </c>
      <c r="F212" s="3">
        <v>10.18349956</v>
      </c>
      <c r="G212" s="3">
        <v>11.54852898</v>
      </c>
      <c r="H212" s="3">
        <v>0.45218683500000001</v>
      </c>
      <c r="I212" s="3">
        <v>3.5462635410000001</v>
      </c>
      <c r="J212" s="3">
        <v>8.1728730590000005</v>
      </c>
      <c r="K212" s="3">
        <v>3.6475192019999998</v>
      </c>
      <c r="L212" s="3">
        <v>0.58889050399999998</v>
      </c>
      <c r="M212" s="3">
        <v>0.809559688</v>
      </c>
      <c r="N212" s="3">
        <v>0.31229625100000002</v>
      </c>
      <c r="O212" s="3">
        <v>0.171781825</v>
      </c>
      <c r="P212" s="3">
        <v>7.4448180610000003</v>
      </c>
      <c r="Q212" s="3">
        <v>1.606368953</v>
      </c>
      <c r="R212" s="3">
        <v>4.5338787040000001</v>
      </c>
      <c r="S212" s="3">
        <v>44.593780989999999</v>
      </c>
      <c r="T212" s="3">
        <v>18.730951040000001</v>
      </c>
      <c r="U212" s="3">
        <v>25.411148879999999</v>
      </c>
      <c r="V212" s="3">
        <v>55.85790008</v>
      </c>
      <c r="W212" s="3">
        <v>52.038599060000003</v>
      </c>
      <c r="X212" s="3">
        <v>3.8193010260000002</v>
      </c>
      <c r="Y212">
        <v>52.038599056666669</v>
      </c>
    </row>
    <row r="213" spans="1:25">
      <c r="A213" t="s">
        <v>226</v>
      </c>
      <c r="B213" t="s">
        <v>189</v>
      </c>
      <c r="C213" s="3">
        <v>1.587682206</v>
      </c>
      <c r="D213" s="3">
        <v>0.34630844500000002</v>
      </c>
      <c r="E213" s="3">
        <v>0.45376318599999999</v>
      </c>
      <c r="F213" s="3">
        <v>10.18349956</v>
      </c>
      <c r="G213" s="3">
        <v>11.54852898</v>
      </c>
      <c r="H213" s="3">
        <v>0.45218683500000001</v>
      </c>
      <c r="I213" s="3">
        <v>3.5462635410000001</v>
      </c>
      <c r="J213" s="3">
        <v>8.1728730590000005</v>
      </c>
      <c r="K213" s="3">
        <v>3.6475192019999998</v>
      </c>
      <c r="L213" s="3">
        <v>0.58889050399999998</v>
      </c>
      <c r="M213" s="3">
        <v>0.809559688</v>
      </c>
      <c r="N213" s="3">
        <v>0.31229625100000002</v>
      </c>
      <c r="O213" s="3">
        <v>0.171781825</v>
      </c>
      <c r="P213" s="3">
        <v>7.4448180610000003</v>
      </c>
      <c r="Q213" s="3">
        <v>1.606368953</v>
      </c>
      <c r="R213" s="3">
        <v>4.5338787040000001</v>
      </c>
      <c r="S213" s="3">
        <v>44.593780989999999</v>
      </c>
      <c r="T213" s="3">
        <v>18.730951040000001</v>
      </c>
      <c r="U213" s="3">
        <v>25.411148879999999</v>
      </c>
      <c r="V213" s="3">
        <v>55.85790008</v>
      </c>
      <c r="W213" s="3">
        <v>52.038599060000003</v>
      </c>
      <c r="X213" s="3">
        <v>3.8193010260000002</v>
      </c>
      <c r="Y213">
        <v>52.038599056666669</v>
      </c>
    </row>
    <row r="214" spans="1:25">
      <c r="A214" t="s">
        <v>227</v>
      </c>
      <c r="B214" t="s">
        <v>189</v>
      </c>
      <c r="C214" s="3">
        <v>1.587682206</v>
      </c>
      <c r="D214" s="3">
        <v>0.34630844500000002</v>
      </c>
      <c r="E214" s="3">
        <v>0.45376318599999999</v>
      </c>
      <c r="F214" s="3">
        <v>10.18349956</v>
      </c>
      <c r="G214" s="3">
        <v>11.54852898</v>
      </c>
      <c r="H214" s="3">
        <v>0.45218683500000001</v>
      </c>
      <c r="I214" s="3">
        <v>3.5462635410000001</v>
      </c>
      <c r="J214" s="3">
        <v>8.1728730590000005</v>
      </c>
      <c r="K214" s="3">
        <v>3.6475192019999998</v>
      </c>
      <c r="L214" s="3">
        <v>0.58889050399999998</v>
      </c>
      <c r="M214" s="3">
        <v>0.809559688</v>
      </c>
      <c r="N214" s="3">
        <v>0.31229625100000002</v>
      </c>
      <c r="O214" s="3">
        <v>0.171781825</v>
      </c>
      <c r="P214" s="3">
        <v>7.4448180610000003</v>
      </c>
      <c r="Q214" s="3">
        <v>1.606368953</v>
      </c>
      <c r="R214" s="3">
        <v>4.5338787040000001</v>
      </c>
      <c r="S214" s="3">
        <v>44.593780989999999</v>
      </c>
      <c r="T214" s="3">
        <v>18.730951040000001</v>
      </c>
      <c r="U214" s="3">
        <v>25.411148879999999</v>
      </c>
      <c r="V214" s="3">
        <v>55.85790008</v>
      </c>
      <c r="W214" s="3">
        <v>52.038599060000003</v>
      </c>
      <c r="X214" s="3">
        <v>3.8193010260000002</v>
      </c>
      <c r="Y214">
        <v>52.038599056666669</v>
      </c>
    </row>
    <row r="215" spans="1:25">
      <c r="A215" t="s">
        <v>228</v>
      </c>
      <c r="B215" t="s">
        <v>189</v>
      </c>
      <c r="C215" s="3">
        <v>1.3291699349999999</v>
      </c>
      <c r="D215" s="3">
        <v>0.28414152300000001</v>
      </c>
      <c r="E215" s="3">
        <v>0.36288269099999998</v>
      </c>
      <c r="F215" s="3">
        <v>9.081349221</v>
      </c>
      <c r="G215" s="3">
        <v>10.117075140000001</v>
      </c>
      <c r="H215" s="3">
        <v>0.39552821799999999</v>
      </c>
      <c r="I215" s="3">
        <v>3.09627243</v>
      </c>
      <c r="J215" s="3">
        <v>8.063277137</v>
      </c>
      <c r="K215" s="3">
        <v>3.0569014399999999</v>
      </c>
      <c r="L215" s="3">
        <v>0.48457518500000002</v>
      </c>
      <c r="M215" s="3">
        <v>0.72486605800000004</v>
      </c>
      <c r="N215" s="3">
        <v>0.27253536299999997</v>
      </c>
      <c r="O215" s="3">
        <v>0.16601015</v>
      </c>
      <c r="P215" s="3">
        <v>7.3549516979999998</v>
      </c>
      <c r="Q215" s="3">
        <v>1.7282809889999999</v>
      </c>
      <c r="R215" s="3">
        <v>4.5746268539999999</v>
      </c>
      <c r="S215" s="3">
        <v>48.907555960000003</v>
      </c>
      <c r="T215" s="3">
        <v>16.750594029999998</v>
      </c>
      <c r="U215" s="3">
        <v>23.763986719999998</v>
      </c>
      <c r="V215" s="3">
        <v>59.48541925</v>
      </c>
      <c r="W215" s="3">
        <v>56.262507659999997</v>
      </c>
      <c r="X215" s="3">
        <v>3.2229115899999998</v>
      </c>
      <c r="Y215">
        <v>56.262507663333338</v>
      </c>
    </row>
    <row r="216" spans="1:25">
      <c r="A216" t="s">
        <v>229</v>
      </c>
      <c r="B216" t="s">
        <v>189</v>
      </c>
      <c r="C216" s="3">
        <v>1.3291699349999999</v>
      </c>
      <c r="D216" s="3">
        <v>0.28414152300000001</v>
      </c>
      <c r="E216" s="3">
        <v>0.36288269099999998</v>
      </c>
      <c r="F216" s="3">
        <v>9.081349221</v>
      </c>
      <c r="G216" s="3">
        <v>10.117075140000001</v>
      </c>
      <c r="H216" s="3">
        <v>0.39552821799999999</v>
      </c>
      <c r="I216" s="3">
        <v>3.09627243</v>
      </c>
      <c r="J216" s="3">
        <v>8.063277137</v>
      </c>
      <c r="K216" s="3">
        <v>3.0569014399999999</v>
      </c>
      <c r="L216" s="3">
        <v>0.48457518500000002</v>
      </c>
      <c r="M216" s="3">
        <v>0.72486605800000004</v>
      </c>
      <c r="N216" s="3">
        <v>0.27253536299999997</v>
      </c>
      <c r="O216" s="3">
        <v>0.16601015</v>
      </c>
      <c r="P216" s="3">
        <v>7.3549516979999998</v>
      </c>
      <c r="Q216" s="3">
        <v>1.7282809889999999</v>
      </c>
      <c r="R216" s="3">
        <v>4.5746268539999999</v>
      </c>
      <c r="S216" s="3">
        <v>48.907555960000003</v>
      </c>
      <c r="T216" s="3">
        <v>16.750594029999998</v>
      </c>
      <c r="U216" s="3">
        <v>23.763986719999998</v>
      </c>
      <c r="V216" s="3">
        <v>59.48541925</v>
      </c>
      <c r="W216" s="3">
        <v>56.262507659999997</v>
      </c>
      <c r="X216" s="3">
        <v>3.2229115899999998</v>
      </c>
      <c r="Y216">
        <v>56.262507663333338</v>
      </c>
    </row>
    <row r="217" spans="1:25">
      <c r="A217" t="s">
        <v>230</v>
      </c>
      <c r="B217" t="s">
        <v>189</v>
      </c>
      <c r="C217" s="3">
        <v>1.3291699349999999</v>
      </c>
      <c r="D217" s="3">
        <v>0.28414152300000001</v>
      </c>
      <c r="E217" s="3">
        <v>0.36288269099999998</v>
      </c>
      <c r="F217" s="3">
        <v>9.081349221</v>
      </c>
      <c r="G217" s="3">
        <v>10.117075140000001</v>
      </c>
      <c r="H217" s="3">
        <v>0.39552821799999999</v>
      </c>
      <c r="I217" s="3">
        <v>3.09627243</v>
      </c>
      <c r="J217" s="3">
        <v>8.063277137</v>
      </c>
      <c r="K217" s="3">
        <v>3.0569014399999999</v>
      </c>
      <c r="L217" s="3">
        <v>0.48457518500000002</v>
      </c>
      <c r="M217" s="3">
        <v>0.72486605800000004</v>
      </c>
      <c r="N217" s="3">
        <v>0.27253536299999997</v>
      </c>
      <c r="O217" s="3">
        <v>0.16601015</v>
      </c>
      <c r="P217" s="3">
        <v>7.3549516979999998</v>
      </c>
      <c r="Q217" s="3">
        <v>1.7282809889999999</v>
      </c>
      <c r="R217" s="3">
        <v>4.5746268539999999</v>
      </c>
      <c r="S217" s="3">
        <v>48.907555960000003</v>
      </c>
      <c r="T217" s="3">
        <v>16.750594029999998</v>
      </c>
      <c r="U217" s="3">
        <v>23.763986719999998</v>
      </c>
      <c r="V217" s="3">
        <v>59.48541925</v>
      </c>
      <c r="W217" s="3">
        <v>56.262507659999997</v>
      </c>
      <c r="X217" s="3">
        <v>3.2229115899999998</v>
      </c>
      <c r="Y217">
        <v>56.262507663333338</v>
      </c>
    </row>
    <row r="218" spans="1:25">
      <c r="A218" t="s">
        <v>231</v>
      </c>
      <c r="B218" t="s">
        <v>189</v>
      </c>
      <c r="C218" s="3">
        <v>1.1894000410000001</v>
      </c>
      <c r="D218" s="3">
        <v>0.291691698</v>
      </c>
      <c r="E218" s="3">
        <v>0.362171203</v>
      </c>
      <c r="F218" s="3">
        <v>10.27042163</v>
      </c>
      <c r="G218" s="3">
        <v>8.3922990150000008</v>
      </c>
      <c r="H218" s="3">
        <v>0.40098597400000002</v>
      </c>
      <c r="I218" s="3">
        <v>3.1651496020000001</v>
      </c>
      <c r="J218" s="3">
        <v>7.0909233079999998</v>
      </c>
      <c r="K218" s="3">
        <v>2.9516866949999998</v>
      </c>
      <c r="L218" s="3">
        <v>0.50498788699999997</v>
      </c>
      <c r="M218" s="3">
        <v>0.58318737799999998</v>
      </c>
      <c r="N218" s="3">
        <v>0.27425696999999999</v>
      </c>
      <c r="O218" s="3">
        <v>0.241949303</v>
      </c>
      <c r="P218" s="3">
        <v>6.9181390939999998</v>
      </c>
      <c r="Q218" s="3">
        <v>1.765564549</v>
      </c>
      <c r="R218" s="3">
        <v>4.5895407119999998</v>
      </c>
      <c r="S218" s="3">
        <v>51.007644939999999</v>
      </c>
      <c r="T218" s="3">
        <v>17.932937859999999</v>
      </c>
      <c r="U218" s="3">
        <v>20.94764211</v>
      </c>
      <c r="V218" s="3">
        <v>61.119420030000001</v>
      </c>
      <c r="W218" s="3">
        <v>57.925784040000003</v>
      </c>
      <c r="X218" s="3">
        <v>3.1936359969999999</v>
      </c>
      <c r="Y218">
        <v>57.92578403666667</v>
      </c>
    </row>
    <row r="219" spans="1:25">
      <c r="A219" t="s">
        <v>232</v>
      </c>
      <c r="B219" t="s">
        <v>189</v>
      </c>
      <c r="C219" s="3">
        <v>1.1894000410000001</v>
      </c>
      <c r="D219" s="3">
        <v>0.291691698</v>
      </c>
      <c r="E219" s="3">
        <v>0.362171203</v>
      </c>
      <c r="F219" s="3">
        <v>10.27042163</v>
      </c>
      <c r="G219" s="3">
        <v>8.3922990150000008</v>
      </c>
      <c r="H219" s="3">
        <v>0.40098597400000002</v>
      </c>
      <c r="I219" s="3">
        <v>3.1651496020000001</v>
      </c>
      <c r="J219" s="3">
        <v>7.0909233079999998</v>
      </c>
      <c r="K219" s="3">
        <v>2.9516866949999998</v>
      </c>
      <c r="L219" s="3">
        <v>0.50498788699999997</v>
      </c>
      <c r="M219" s="3">
        <v>0.58318737799999998</v>
      </c>
      <c r="N219" s="3">
        <v>0.27425696999999999</v>
      </c>
      <c r="O219" s="3">
        <v>0.241949303</v>
      </c>
      <c r="P219" s="3">
        <v>6.9181390939999998</v>
      </c>
      <c r="Q219" s="3">
        <v>1.765564549</v>
      </c>
      <c r="R219" s="3">
        <v>4.5895407119999998</v>
      </c>
      <c r="S219" s="3">
        <v>51.007644939999999</v>
      </c>
      <c r="T219" s="3">
        <v>17.932937859999999</v>
      </c>
      <c r="U219" s="3">
        <v>20.94764211</v>
      </c>
      <c r="V219" s="3">
        <v>61.119420030000001</v>
      </c>
      <c r="W219" s="3">
        <v>57.925784040000003</v>
      </c>
      <c r="X219" s="3">
        <v>3.1936359969999999</v>
      </c>
      <c r="Y219">
        <v>57.92578403666667</v>
      </c>
    </row>
    <row r="220" spans="1:25">
      <c r="A220" t="s">
        <v>233</v>
      </c>
      <c r="B220" t="s">
        <v>189</v>
      </c>
      <c r="C220" s="3">
        <v>1.1894000410000001</v>
      </c>
      <c r="D220" s="3">
        <v>0.291691698</v>
      </c>
      <c r="E220" s="3">
        <v>0.362171203</v>
      </c>
      <c r="F220" s="3">
        <v>10.27042163</v>
      </c>
      <c r="G220" s="3">
        <v>8.3922990150000008</v>
      </c>
      <c r="H220" s="3">
        <v>0.40098597400000002</v>
      </c>
      <c r="I220" s="3">
        <v>3.1651496020000001</v>
      </c>
      <c r="J220" s="3">
        <v>7.0909233079999998</v>
      </c>
      <c r="K220" s="3">
        <v>2.9516866949999998</v>
      </c>
      <c r="L220" s="3">
        <v>0.50498788699999997</v>
      </c>
      <c r="M220" s="3">
        <v>0.58318737799999998</v>
      </c>
      <c r="N220" s="3">
        <v>0.27425696999999999</v>
      </c>
      <c r="O220" s="3">
        <v>0.241949303</v>
      </c>
      <c r="P220" s="3">
        <v>6.9181390939999998</v>
      </c>
      <c r="Q220" s="3">
        <v>1.765564549</v>
      </c>
      <c r="R220" s="3">
        <v>4.5895407119999998</v>
      </c>
      <c r="S220" s="3">
        <v>51.007644939999999</v>
      </c>
      <c r="T220" s="3">
        <v>17.932937859999999</v>
      </c>
      <c r="U220" s="3">
        <v>20.94764211</v>
      </c>
      <c r="V220" s="3">
        <v>61.119420030000001</v>
      </c>
      <c r="W220" s="3">
        <v>57.925784040000003</v>
      </c>
      <c r="X220" s="3">
        <v>3.1936359969999999</v>
      </c>
      <c r="Y220">
        <v>57.92578403666667</v>
      </c>
    </row>
    <row r="221" spans="1:25">
      <c r="A221" t="s">
        <v>234</v>
      </c>
      <c r="B221" t="s">
        <v>189</v>
      </c>
      <c r="C221" s="3">
        <v>1.5182423700000001</v>
      </c>
      <c r="D221" s="3">
        <v>0.33012755399999999</v>
      </c>
      <c r="E221" s="3">
        <v>0.43124519300000003</v>
      </c>
      <c r="F221" s="3">
        <v>9.1922289910000003</v>
      </c>
      <c r="G221" s="3">
        <v>12.211006380000001</v>
      </c>
      <c r="H221" s="3">
        <v>0.46143127099999998</v>
      </c>
      <c r="I221" s="3">
        <v>3.2039175370000001</v>
      </c>
      <c r="J221" s="3">
        <v>7.3209524630000002</v>
      </c>
      <c r="K221" s="3">
        <v>3.57058703</v>
      </c>
      <c r="L221" s="3">
        <v>0.58606485399999997</v>
      </c>
      <c r="M221" s="3">
        <v>2.190209013</v>
      </c>
      <c r="N221" s="3">
        <v>0.30793409900000002</v>
      </c>
      <c r="O221" s="3">
        <v>0.17678685699999999</v>
      </c>
      <c r="P221" s="3">
        <v>7.3270954589999997</v>
      </c>
      <c r="Q221" s="3">
        <v>1.6766448350000001</v>
      </c>
      <c r="R221" s="3">
        <v>4.5327899049999996</v>
      </c>
      <c r="S221" s="3">
        <v>44.962736190000001</v>
      </c>
      <c r="T221" s="3">
        <v>17.377709150000001</v>
      </c>
      <c r="U221" s="3">
        <v>26.58508531</v>
      </c>
      <c r="V221" s="3">
        <v>56.037205540000002</v>
      </c>
      <c r="W221" s="3">
        <v>52.289831650000004</v>
      </c>
      <c r="X221" s="3">
        <v>3.7473738870000002</v>
      </c>
      <c r="Y221">
        <v>52.289831650000004</v>
      </c>
    </row>
    <row r="222" spans="1:25">
      <c r="A222" t="s">
        <v>235</v>
      </c>
      <c r="B222" t="s">
        <v>189</v>
      </c>
      <c r="C222" s="3">
        <v>1.5182423700000001</v>
      </c>
      <c r="D222" s="3">
        <v>0.33012755399999999</v>
      </c>
      <c r="E222" s="3">
        <v>0.43124519300000003</v>
      </c>
      <c r="F222" s="3">
        <v>9.1922289910000003</v>
      </c>
      <c r="G222" s="3">
        <v>12.211006380000001</v>
      </c>
      <c r="H222" s="3">
        <v>0.46143127099999998</v>
      </c>
      <c r="I222" s="3">
        <v>3.2039175370000001</v>
      </c>
      <c r="J222" s="3">
        <v>7.3209524630000002</v>
      </c>
      <c r="K222" s="3">
        <v>3.57058703</v>
      </c>
      <c r="L222" s="3">
        <v>0.58606485399999997</v>
      </c>
      <c r="M222" s="3">
        <v>2.190209013</v>
      </c>
      <c r="N222" s="3">
        <v>0.30793409900000002</v>
      </c>
      <c r="O222" s="3">
        <v>0.17678685699999999</v>
      </c>
      <c r="P222" s="3">
        <v>7.3270954589999997</v>
      </c>
      <c r="Q222" s="3">
        <v>1.6766448350000001</v>
      </c>
      <c r="R222" s="3">
        <v>4.5327899049999996</v>
      </c>
      <c r="S222" s="3">
        <v>44.962736190000001</v>
      </c>
      <c r="T222" s="3">
        <v>17.377709150000001</v>
      </c>
      <c r="U222" s="3">
        <v>26.58508531</v>
      </c>
      <c r="V222" s="3">
        <v>56.037205540000002</v>
      </c>
      <c r="W222" s="3">
        <v>52.289831650000004</v>
      </c>
      <c r="X222" s="3">
        <v>3.7473738870000002</v>
      </c>
      <c r="Y222">
        <v>52.289831650000004</v>
      </c>
    </row>
    <row r="223" spans="1:25">
      <c r="A223" t="s">
        <v>236</v>
      </c>
      <c r="B223" t="s">
        <v>189</v>
      </c>
      <c r="C223" s="3">
        <v>1.5182423700000001</v>
      </c>
      <c r="D223" s="3">
        <v>0.33012755399999999</v>
      </c>
      <c r="E223" s="3">
        <v>0.43124519300000003</v>
      </c>
      <c r="F223" s="3">
        <v>9.1922289910000003</v>
      </c>
      <c r="G223" s="3">
        <v>12.211006380000001</v>
      </c>
      <c r="H223" s="3">
        <v>0.46143127099999998</v>
      </c>
      <c r="I223" s="3">
        <v>3.2039175370000001</v>
      </c>
      <c r="J223" s="3">
        <v>7.3209524630000002</v>
      </c>
      <c r="K223" s="3">
        <v>3.57058703</v>
      </c>
      <c r="L223" s="3">
        <v>0.58606485399999997</v>
      </c>
      <c r="M223" s="3">
        <v>2.190209013</v>
      </c>
      <c r="N223" s="3">
        <v>0.30793409900000002</v>
      </c>
      <c r="O223" s="3">
        <v>0.17678685699999999</v>
      </c>
      <c r="P223" s="3">
        <v>7.3270954589999997</v>
      </c>
      <c r="Q223" s="3">
        <v>1.6766448350000001</v>
      </c>
      <c r="R223" s="3">
        <v>4.5327899049999996</v>
      </c>
      <c r="S223" s="3">
        <v>44.962736190000001</v>
      </c>
      <c r="T223" s="3">
        <v>17.377709150000001</v>
      </c>
      <c r="U223" s="3">
        <v>26.58508531</v>
      </c>
      <c r="V223" s="3">
        <v>56.037205540000002</v>
      </c>
      <c r="W223" s="3">
        <v>52.289831650000004</v>
      </c>
      <c r="X223" s="3">
        <v>3.7473738870000002</v>
      </c>
      <c r="Y223">
        <v>52.289831650000004</v>
      </c>
    </row>
    <row r="224" spans="1:25">
      <c r="A224" t="s">
        <v>237</v>
      </c>
      <c r="B224" t="s">
        <v>189</v>
      </c>
      <c r="C224" s="3">
        <v>1.4988440270000001</v>
      </c>
      <c r="D224" s="3">
        <v>0.29960551200000002</v>
      </c>
      <c r="E224" s="3">
        <v>0.38031570399999998</v>
      </c>
      <c r="F224" s="3">
        <v>9.6710475920000007</v>
      </c>
      <c r="G224" s="3">
        <v>12.980701440000001</v>
      </c>
      <c r="H224" s="3">
        <v>0.43194248600000001</v>
      </c>
      <c r="I224" s="3">
        <v>3.5521318819999999</v>
      </c>
      <c r="J224" s="3">
        <v>5.9225512120000001</v>
      </c>
      <c r="K224" s="3">
        <v>2.7892547799999998</v>
      </c>
      <c r="L224" s="3">
        <v>0.56513452099999995</v>
      </c>
      <c r="M224" s="3">
        <v>0.66288677799999995</v>
      </c>
      <c r="N224" s="3">
        <v>0.27988260199999998</v>
      </c>
      <c r="O224" s="3">
        <v>0.19941594700000001</v>
      </c>
      <c r="P224" s="3">
        <v>9.0563478580000005</v>
      </c>
      <c r="Q224" s="3">
        <v>1.698997029</v>
      </c>
      <c r="R224" s="3">
        <v>4.2861147099999997</v>
      </c>
      <c r="S224" s="3">
        <v>45.724825920000001</v>
      </c>
      <c r="T224" s="3">
        <v>18.078295839999999</v>
      </c>
      <c r="U224" s="3">
        <v>24.151859649999999</v>
      </c>
      <c r="V224" s="3">
        <v>57.769844509999999</v>
      </c>
      <c r="W224" s="3">
        <v>54.781173780000003</v>
      </c>
      <c r="X224" s="3">
        <v>2.9886707270000001</v>
      </c>
      <c r="Y224">
        <v>54.781173776666662</v>
      </c>
    </row>
    <row r="225" spans="1:25">
      <c r="A225" t="s">
        <v>238</v>
      </c>
      <c r="B225" t="s">
        <v>189</v>
      </c>
      <c r="C225" s="3">
        <v>1.4988440270000001</v>
      </c>
      <c r="D225" s="3">
        <v>0.29960551200000002</v>
      </c>
      <c r="E225" s="3">
        <v>0.38031570399999998</v>
      </c>
      <c r="F225" s="3">
        <v>9.6710475920000007</v>
      </c>
      <c r="G225" s="3">
        <v>12.980701440000001</v>
      </c>
      <c r="H225" s="3">
        <v>0.43194248600000001</v>
      </c>
      <c r="I225" s="3">
        <v>3.5521318819999999</v>
      </c>
      <c r="J225" s="3">
        <v>5.9225512120000001</v>
      </c>
      <c r="K225" s="3">
        <v>2.7892547799999998</v>
      </c>
      <c r="L225" s="3">
        <v>0.56513452099999995</v>
      </c>
      <c r="M225" s="3">
        <v>0.66288677799999995</v>
      </c>
      <c r="N225" s="3">
        <v>0.27988260199999998</v>
      </c>
      <c r="O225" s="3">
        <v>0.19941594700000001</v>
      </c>
      <c r="P225" s="3">
        <v>9.0563478580000005</v>
      </c>
      <c r="Q225" s="3">
        <v>1.698997029</v>
      </c>
      <c r="R225" s="3">
        <v>4.2861147099999997</v>
      </c>
      <c r="S225" s="3">
        <v>45.724825920000001</v>
      </c>
      <c r="T225" s="3">
        <v>18.078295839999999</v>
      </c>
      <c r="U225" s="3">
        <v>24.151859649999999</v>
      </c>
      <c r="V225" s="3">
        <v>57.769844509999999</v>
      </c>
      <c r="W225" s="3">
        <v>54.781173780000003</v>
      </c>
      <c r="X225" s="3">
        <v>2.9886707270000001</v>
      </c>
      <c r="Y225">
        <v>54.781173776666662</v>
      </c>
    </row>
    <row r="226" spans="1:25">
      <c r="A226" t="s">
        <v>239</v>
      </c>
      <c r="B226" t="s">
        <v>189</v>
      </c>
      <c r="C226" s="3">
        <v>1.4988440270000001</v>
      </c>
      <c r="D226" s="3">
        <v>0.29960551200000002</v>
      </c>
      <c r="E226" s="3">
        <v>0.38031570399999998</v>
      </c>
      <c r="F226" s="3">
        <v>9.6710475920000007</v>
      </c>
      <c r="G226" s="3">
        <v>12.980701440000001</v>
      </c>
      <c r="H226" s="3">
        <v>0.43194248600000001</v>
      </c>
      <c r="I226" s="3">
        <v>3.5521318819999999</v>
      </c>
      <c r="J226" s="3">
        <v>5.9225512120000001</v>
      </c>
      <c r="K226" s="3">
        <v>2.7892547799999998</v>
      </c>
      <c r="L226" s="3">
        <v>0.56513452099999995</v>
      </c>
      <c r="M226" s="3">
        <v>0.66288677799999995</v>
      </c>
      <c r="N226" s="3">
        <v>0.27988260199999998</v>
      </c>
      <c r="O226" s="3">
        <v>0.19941594700000001</v>
      </c>
      <c r="P226" s="3">
        <v>9.0563478580000005</v>
      </c>
      <c r="Q226" s="3">
        <v>1.698997029</v>
      </c>
      <c r="R226" s="3">
        <v>4.2861147099999997</v>
      </c>
      <c r="S226" s="3">
        <v>45.724825920000001</v>
      </c>
      <c r="T226" s="3">
        <v>18.078295839999999</v>
      </c>
      <c r="U226" s="3">
        <v>24.151859649999999</v>
      </c>
      <c r="V226" s="3">
        <v>57.769844509999999</v>
      </c>
      <c r="W226" s="3">
        <v>54.781173780000003</v>
      </c>
      <c r="X226" s="3">
        <v>2.9886707270000001</v>
      </c>
      <c r="Y226">
        <v>54.781173776666662</v>
      </c>
    </row>
    <row r="227" spans="1:25">
      <c r="A227" t="s">
        <v>240</v>
      </c>
      <c r="B227" t="s">
        <v>189</v>
      </c>
      <c r="C227" s="3">
        <v>1.87582224</v>
      </c>
      <c r="D227" s="3">
        <v>0.654616219</v>
      </c>
      <c r="E227" s="3">
        <v>0.74638881199999996</v>
      </c>
      <c r="F227" s="3">
        <v>9.5236347200000004</v>
      </c>
      <c r="G227" s="3">
        <v>9.543688521</v>
      </c>
      <c r="H227" s="3">
        <v>0.59194296199999996</v>
      </c>
      <c r="I227" s="3">
        <v>3.5407060100000001</v>
      </c>
      <c r="J227" s="3">
        <v>7.439851473</v>
      </c>
      <c r="K227" s="3">
        <v>2.508366863</v>
      </c>
      <c r="L227" s="3">
        <v>1.134320072</v>
      </c>
      <c r="M227" s="3">
        <v>2.0325333159999999</v>
      </c>
      <c r="N227" s="3">
        <v>0.550071486</v>
      </c>
      <c r="O227" s="3">
        <v>0.25817262600000002</v>
      </c>
      <c r="P227" s="3">
        <v>7.033308903</v>
      </c>
      <c r="Q227" s="3">
        <v>2.1726778530000002</v>
      </c>
      <c r="R227" s="3">
        <v>5.0382037359999998</v>
      </c>
      <c r="S227" s="3">
        <v>47.112278959999998</v>
      </c>
      <c r="T227" s="3">
        <v>19.952206990000001</v>
      </c>
      <c r="U227" s="3">
        <v>23.13566565</v>
      </c>
      <c r="V227" s="3">
        <v>56.912127359999999</v>
      </c>
      <c r="W227" s="3">
        <v>54.14558787</v>
      </c>
      <c r="X227" s="3">
        <v>2.7665394889999999</v>
      </c>
      <c r="Y227">
        <v>54.145587870000007</v>
      </c>
    </row>
    <row r="228" spans="1:25">
      <c r="A228" t="s">
        <v>241</v>
      </c>
      <c r="B228" t="s">
        <v>189</v>
      </c>
      <c r="C228" s="3">
        <v>1.87582224</v>
      </c>
      <c r="D228" s="3">
        <v>0.654616219</v>
      </c>
      <c r="E228" s="3">
        <v>0.74638881199999996</v>
      </c>
      <c r="F228" s="3">
        <v>9.5236347200000004</v>
      </c>
      <c r="G228" s="3">
        <v>9.543688521</v>
      </c>
      <c r="H228" s="3">
        <v>0.59194296199999996</v>
      </c>
      <c r="I228" s="3">
        <v>3.5407060100000001</v>
      </c>
      <c r="J228" s="3">
        <v>7.439851473</v>
      </c>
      <c r="K228" s="3">
        <v>2.508366863</v>
      </c>
      <c r="L228" s="3">
        <v>1.134320072</v>
      </c>
      <c r="M228" s="3">
        <v>2.0325333159999999</v>
      </c>
      <c r="N228" s="3">
        <v>0.550071486</v>
      </c>
      <c r="O228" s="3">
        <v>0.25817262600000002</v>
      </c>
      <c r="P228" s="3">
        <v>7.033308903</v>
      </c>
      <c r="Q228" s="3">
        <v>2.1726778530000002</v>
      </c>
      <c r="R228" s="3">
        <v>5.0382037359999998</v>
      </c>
      <c r="S228" s="3">
        <v>47.112278959999998</v>
      </c>
      <c r="T228" s="3">
        <v>19.952206990000001</v>
      </c>
      <c r="U228" s="3">
        <v>23.13566565</v>
      </c>
      <c r="V228" s="3">
        <v>56.912127359999999</v>
      </c>
      <c r="W228" s="3">
        <v>54.14558787</v>
      </c>
      <c r="X228" s="3">
        <v>2.7665394889999999</v>
      </c>
      <c r="Y228">
        <v>54.145587870000007</v>
      </c>
    </row>
    <row r="229" spans="1:25">
      <c r="A229" t="s">
        <v>242</v>
      </c>
      <c r="B229" t="s">
        <v>189</v>
      </c>
      <c r="C229" s="3">
        <v>1.87582224</v>
      </c>
      <c r="D229" s="3">
        <v>0.654616219</v>
      </c>
      <c r="E229" s="3">
        <v>0.74638881199999996</v>
      </c>
      <c r="F229" s="3">
        <v>9.5236347200000004</v>
      </c>
      <c r="G229" s="3">
        <v>9.543688521</v>
      </c>
      <c r="H229" s="3">
        <v>0.59194296199999996</v>
      </c>
      <c r="I229" s="3">
        <v>3.5407060100000001</v>
      </c>
      <c r="J229" s="3">
        <v>7.439851473</v>
      </c>
      <c r="K229" s="3">
        <v>2.508366863</v>
      </c>
      <c r="L229" s="3">
        <v>1.134320072</v>
      </c>
      <c r="M229" s="3">
        <v>2.0325333159999999</v>
      </c>
      <c r="N229" s="3">
        <v>0.550071486</v>
      </c>
      <c r="O229" s="3">
        <v>0.25817262600000002</v>
      </c>
      <c r="P229" s="3">
        <v>7.033308903</v>
      </c>
      <c r="Q229" s="3">
        <v>2.1726778530000002</v>
      </c>
      <c r="R229" s="3">
        <v>5.0382037359999998</v>
      </c>
      <c r="S229" s="3">
        <v>47.112278959999998</v>
      </c>
      <c r="T229" s="3">
        <v>19.952206990000001</v>
      </c>
      <c r="U229" s="3">
        <v>23.13566565</v>
      </c>
      <c r="V229" s="3">
        <v>56.912127359999999</v>
      </c>
      <c r="W229" s="3">
        <v>54.14558787</v>
      </c>
      <c r="X229" s="3">
        <v>2.7665394889999999</v>
      </c>
      <c r="Y229">
        <v>54.145587870000007</v>
      </c>
    </row>
    <row r="230" spans="1:25">
      <c r="A230" t="s">
        <v>243</v>
      </c>
      <c r="B230" t="s">
        <v>189</v>
      </c>
      <c r="C230" s="3">
        <v>1.5654053590000001</v>
      </c>
      <c r="D230" s="3">
        <v>0.42597929000000001</v>
      </c>
      <c r="E230" s="3">
        <v>0.52315647099999996</v>
      </c>
      <c r="F230" s="3">
        <v>10.046833660000001</v>
      </c>
      <c r="G230" s="3">
        <v>9.5938003349999992</v>
      </c>
      <c r="H230" s="3">
        <v>0.52608387899999998</v>
      </c>
      <c r="I230" s="3">
        <v>3.5162071080000001</v>
      </c>
      <c r="J230" s="3">
        <v>8.1600457249999998</v>
      </c>
      <c r="K230" s="3">
        <v>3.113852949</v>
      </c>
      <c r="L230" s="3">
        <v>0.75536748600000003</v>
      </c>
      <c r="M230" s="3">
        <v>0.59826546599999997</v>
      </c>
      <c r="N230" s="3">
        <v>0.37453196700000002</v>
      </c>
      <c r="O230" s="3">
        <v>0.22071058299999999</v>
      </c>
      <c r="P230" s="3">
        <v>5.74957093</v>
      </c>
      <c r="Q230" s="3">
        <v>1.79001996</v>
      </c>
      <c r="R230" s="3">
        <v>5.1787820360000003</v>
      </c>
      <c r="S230" s="3">
        <v>47.861386799999998</v>
      </c>
      <c r="T230" s="3">
        <v>19.097605890000001</v>
      </c>
      <c r="U230" s="3">
        <v>23.95687285</v>
      </c>
      <c r="V230" s="3">
        <v>56.94552126</v>
      </c>
      <c r="W230" s="3">
        <v>53.610957730000003</v>
      </c>
      <c r="X230" s="3">
        <v>3.3345635320000002</v>
      </c>
      <c r="Y230">
        <v>53.610957730000003</v>
      </c>
    </row>
    <row r="231" spans="1:25">
      <c r="A231" t="s">
        <v>244</v>
      </c>
      <c r="B231" t="s">
        <v>189</v>
      </c>
      <c r="C231" s="3">
        <v>1.5654053590000001</v>
      </c>
      <c r="D231" s="3">
        <v>0.42597929000000001</v>
      </c>
      <c r="E231" s="3">
        <v>0.52315647099999996</v>
      </c>
      <c r="F231" s="3">
        <v>10.046833660000001</v>
      </c>
      <c r="G231" s="3">
        <v>9.5938003349999992</v>
      </c>
      <c r="H231" s="3">
        <v>0.52608387899999998</v>
      </c>
      <c r="I231" s="3">
        <v>3.5162071080000001</v>
      </c>
      <c r="J231" s="3">
        <v>8.1600457249999998</v>
      </c>
      <c r="K231" s="3">
        <v>3.113852949</v>
      </c>
      <c r="L231" s="3">
        <v>0.75536748600000003</v>
      </c>
      <c r="M231" s="3">
        <v>0.59826546599999997</v>
      </c>
      <c r="N231" s="3">
        <v>0.37453196700000002</v>
      </c>
      <c r="O231" s="3">
        <v>0.22071058299999999</v>
      </c>
      <c r="P231" s="3">
        <v>5.74957093</v>
      </c>
      <c r="Q231" s="3">
        <v>1.79001996</v>
      </c>
      <c r="R231" s="3">
        <v>5.1787820360000003</v>
      </c>
      <c r="S231" s="3">
        <v>47.861386799999998</v>
      </c>
      <c r="T231" s="3">
        <v>19.097605890000001</v>
      </c>
      <c r="U231" s="3">
        <v>23.95687285</v>
      </c>
      <c r="V231" s="3">
        <v>56.94552126</v>
      </c>
      <c r="W231" s="3">
        <v>53.610957730000003</v>
      </c>
      <c r="X231" s="3">
        <v>3.3345635320000002</v>
      </c>
      <c r="Y231">
        <v>53.610957730000003</v>
      </c>
    </row>
    <row r="232" spans="1:25">
      <c r="A232" t="s">
        <v>245</v>
      </c>
      <c r="B232" t="s">
        <v>189</v>
      </c>
      <c r="C232" s="3">
        <v>1.5654053590000001</v>
      </c>
      <c r="D232" s="3">
        <v>0.42597929000000001</v>
      </c>
      <c r="E232" s="3">
        <v>0.52315647099999996</v>
      </c>
      <c r="F232" s="3">
        <v>10.046833660000001</v>
      </c>
      <c r="G232" s="3">
        <v>9.5938003349999992</v>
      </c>
      <c r="H232" s="3">
        <v>0.52608387899999998</v>
      </c>
      <c r="I232" s="3">
        <v>3.5162071080000001</v>
      </c>
      <c r="J232" s="3">
        <v>8.1600457249999998</v>
      </c>
      <c r="K232" s="3">
        <v>3.113852949</v>
      </c>
      <c r="L232" s="3">
        <v>0.75536748600000003</v>
      </c>
      <c r="M232" s="3">
        <v>0.59826546599999997</v>
      </c>
      <c r="N232" s="3">
        <v>0.37453196700000002</v>
      </c>
      <c r="O232" s="3">
        <v>0.22071058299999999</v>
      </c>
      <c r="P232" s="3">
        <v>5.74957093</v>
      </c>
      <c r="Q232" s="3">
        <v>1.79001996</v>
      </c>
      <c r="R232" s="3">
        <v>5.1787820360000003</v>
      </c>
      <c r="S232" s="3">
        <v>47.861386799999998</v>
      </c>
      <c r="T232" s="3">
        <v>19.097605890000001</v>
      </c>
      <c r="U232" s="3">
        <v>23.95687285</v>
      </c>
      <c r="V232" s="3">
        <v>56.94552126</v>
      </c>
      <c r="W232" s="3">
        <v>53.610957730000003</v>
      </c>
      <c r="X232" s="3">
        <v>3.3345635320000002</v>
      </c>
      <c r="Y232">
        <v>53.610957730000003</v>
      </c>
    </row>
    <row r="233" spans="1:25">
      <c r="A233" t="s">
        <v>246</v>
      </c>
      <c r="B233" t="s">
        <v>189</v>
      </c>
      <c r="C233" s="3">
        <v>1.5351888060000001</v>
      </c>
      <c r="D233" s="3">
        <v>0.34447238699999999</v>
      </c>
      <c r="E233" s="3">
        <v>0.446468859</v>
      </c>
      <c r="F233" s="3">
        <v>10.56244583</v>
      </c>
      <c r="G233" s="3">
        <v>10.61133349</v>
      </c>
      <c r="H233" s="3">
        <v>0.47916462700000001</v>
      </c>
      <c r="I233" s="3">
        <v>3.2419942239999999</v>
      </c>
      <c r="J233" s="3">
        <v>8.0014219749999995</v>
      </c>
      <c r="K233" s="3">
        <v>3.7252862520000001</v>
      </c>
      <c r="L233" s="3">
        <v>0.59786889499999996</v>
      </c>
      <c r="M233" s="3">
        <v>1.170982889</v>
      </c>
      <c r="N233" s="3">
        <v>0.31603148800000003</v>
      </c>
      <c r="O233" s="3">
        <v>0.168211573</v>
      </c>
      <c r="P233" s="3">
        <v>6.3621071909999998</v>
      </c>
      <c r="Q233" s="3">
        <v>1.61805277</v>
      </c>
      <c r="R233" s="3">
        <v>4.6419214999999996</v>
      </c>
      <c r="S233" s="3">
        <v>46.17704724</v>
      </c>
      <c r="T233" s="3">
        <v>18.7972155</v>
      </c>
      <c r="U233" s="3">
        <v>24.770132239999999</v>
      </c>
      <c r="V233" s="3">
        <v>56.432652259999998</v>
      </c>
      <c r="W233" s="3">
        <v>52.539154430000004</v>
      </c>
      <c r="X233" s="3">
        <v>3.8934978249999999</v>
      </c>
      <c r="Y233">
        <v>52.53915442666667</v>
      </c>
    </row>
    <row r="234" spans="1:25">
      <c r="A234" t="s">
        <v>247</v>
      </c>
      <c r="B234" t="s">
        <v>189</v>
      </c>
      <c r="C234" s="3">
        <v>1.5351888060000001</v>
      </c>
      <c r="D234" s="3">
        <v>0.34447238699999999</v>
      </c>
      <c r="E234" s="3">
        <v>0.446468859</v>
      </c>
      <c r="F234" s="3">
        <v>10.56244583</v>
      </c>
      <c r="G234" s="3">
        <v>10.61133349</v>
      </c>
      <c r="H234" s="3">
        <v>0.47916462700000001</v>
      </c>
      <c r="I234" s="3">
        <v>3.2419942239999999</v>
      </c>
      <c r="J234" s="3">
        <v>8.0014219749999995</v>
      </c>
      <c r="K234" s="3">
        <v>3.7252862520000001</v>
      </c>
      <c r="L234" s="3">
        <v>0.59786889499999996</v>
      </c>
      <c r="M234" s="3">
        <v>1.170982889</v>
      </c>
      <c r="N234" s="3">
        <v>0.31603148800000003</v>
      </c>
      <c r="O234" s="3">
        <v>0.168211573</v>
      </c>
      <c r="P234" s="3">
        <v>6.3621071909999998</v>
      </c>
      <c r="Q234" s="3">
        <v>1.61805277</v>
      </c>
      <c r="R234" s="3">
        <v>4.6419214999999996</v>
      </c>
      <c r="S234" s="3">
        <v>46.17704724</v>
      </c>
      <c r="T234" s="3">
        <v>18.7972155</v>
      </c>
      <c r="U234" s="3">
        <v>24.770132239999999</v>
      </c>
      <c r="V234" s="3">
        <v>56.432652259999998</v>
      </c>
      <c r="W234" s="3">
        <v>52.539154430000004</v>
      </c>
      <c r="X234" s="3">
        <v>3.8934978249999999</v>
      </c>
      <c r="Y234">
        <v>52.53915442666667</v>
      </c>
    </row>
    <row r="235" spans="1:25">
      <c r="A235" t="s">
        <v>248</v>
      </c>
      <c r="B235" t="s">
        <v>189</v>
      </c>
      <c r="C235" s="3">
        <v>1.5351888060000001</v>
      </c>
      <c r="D235" s="3">
        <v>0.34447238699999999</v>
      </c>
      <c r="E235" s="3">
        <v>0.446468859</v>
      </c>
      <c r="F235" s="3">
        <v>10.56244583</v>
      </c>
      <c r="G235" s="3">
        <v>10.61133349</v>
      </c>
      <c r="H235" s="3">
        <v>0.47916462700000001</v>
      </c>
      <c r="I235" s="3">
        <v>3.2419942239999999</v>
      </c>
      <c r="J235" s="3">
        <v>8.0014219749999995</v>
      </c>
      <c r="K235" s="3">
        <v>3.7252862520000001</v>
      </c>
      <c r="L235" s="3">
        <v>0.59786889499999996</v>
      </c>
      <c r="M235" s="3">
        <v>1.170982889</v>
      </c>
      <c r="N235" s="3">
        <v>0.31603148800000003</v>
      </c>
      <c r="O235" s="3">
        <v>0.168211573</v>
      </c>
      <c r="P235" s="3">
        <v>6.3621071909999998</v>
      </c>
      <c r="Q235" s="3">
        <v>1.61805277</v>
      </c>
      <c r="R235" s="3">
        <v>4.6419214999999996</v>
      </c>
      <c r="S235" s="3">
        <v>46.17704724</v>
      </c>
      <c r="T235" s="3">
        <v>18.7972155</v>
      </c>
      <c r="U235" s="3">
        <v>24.770132239999999</v>
      </c>
      <c r="V235" s="3">
        <v>56.432652259999998</v>
      </c>
      <c r="W235" s="3">
        <v>52.539154430000004</v>
      </c>
      <c r="X235" s="3">
        <v>3.8934978249999999</v>
      </c>
      <c r="Y235">
        <v>52.53915442666667</v>
      </c>
    </row>
    <row r="236" spans="1:25">
      <c r="A236" t="s">
        <v>249</v>
      </c>
      <c r="B236" t="s">
        <v>189</v>
      </c>
      <c r="C236" s="3">
        <v>1.5114522560000001</v>
      </c>
      <c r="D236" s="3">
        <v>0.29368628400000002</v>
      </c>
      <c r="E236" s="3">
        <v>0.38231429700000003</v>
      </c>
      <c r="F236" s="3">
        <v>10.544250549999999</v>
      </c>
      <c r="G236" s="3">
        <v>11.804036330000001</v>
      </c>
      <c r="H236" s="3">
        <v>0.42964954300000002</v>
      </c>
      <c r="I236" s="3">
        <v>3.222390125</v>
      </c>
      <c r="J236" s="3">
        <v>6.7781927270000004</v>
      </c>
      <c r="K236" s="3">
        <v>3.7916599689999999</v>
      </c>
      <c r="L236" s="3">
        <v>0.52161217299999996</v>
      </c>
      <c r="M236" s="3">
        <v>0.681413088</v>
      </c>
      <c r="N236" s="3">
        <v>0.25729049500000001</v>
      </c>
      <c r="O236" s="3">
        <v>0.18463310299999999</v>
      </c>
      <c r="P236" s="3">
        <v>7.2901837360000004</v>
      </c>
      <c r="Q236" s="3">
        <v>1.6623149269999999</v>
      </c>
      <c r="R236" s="3">
        <v>4.4902857420000002</v>
      </c>
      <c r="S236" s="3">
        <v>46.154634649999998</v>
      </c>
      <c r="T236" s="3">
        <v>18.531274369999998</v>
      </c>
      <c r="U236" s="3">
        <v>24.047614169999999</v>
      </c>
      <c r="V236" s="3">
        <v>57.421111459999999</v>
      </c>
      <c r="W236" s="3">
        <v>53.444818390000002</v>
      </c>
      <c r="X236" s="3">
        <v>3.9762930729999999</v>
      </c>
      <c r="Y236">
        <v>53.444818386666668</v>
      </c>
    </row>
    <row r="237" spans="1:25">
      <c r="A237" t="s">
        <v>250</v>
      </c>
      <c r="B237" t="s">
        <v>189</v>
      </c>
      <c r="C237" s="3">
        <v>1.5114522560000001</v>
      </c>
      <c r="D237" s="3">
        <v>0.29368628400000002</v>
      </c>
      <c r="E237" s="3">
        <v>0.38231429700000003</v>
      </c>
      <c r="F237" s="3">
        <v>10.544250549999999</v>
      </c>
      <c r="G237" s="3">
        <v>11.804036330000001</v>
      </c>
      <c r="H237" s="3">
        <v>0.42964954300000002</v>
      </c>
      <c r="I237" s="3">
        <v>3.222390125</v>
      </c>
      <c r="J237" s="3">
        <v>6.7781927270000004</v>
      </c>
      <c r="K237" s="3">
        <v>3.7916599689999999</v>
      </c>
      <c r="L237" s="3">
        <v>0.52161217299999996</v>
      </c>
      <c r="M237" s="3">
        <v>0.681413088</v>
      </c>
      <c r="N237" s="3">
        <v>0.25729049500000001</v>
      </c>
      <c r="O237" s="3">
        <v>0.18463310299999999</v>
      </c>
      <c r="P237" s="3">
        <v>7.2901837360000004</v>
      </c>
      <c r="Q237" s="3">
        <v>1.6623149269999999</v>
      </c>
      <c r="R237" s="3">
        <v>4.4902857420000002</v>
      </c>
      <c r="S237" s="3">
        <v>46.154634649999998</v>
      </c>
      <c r="T237" s="3">
        <v>18.531274369999998</v>
      </c>
      <c r="U237" s="3">
        <v>24.047614169999999</v>
      </c>
      <c r="V237" s="3">
        <v>57.421111459999999</v>
      </c>
      <c r="W237" s="3">
        <v>53.444818390000002</v>
      </c>
      <c r="X237" s="3">
        <v>3.9762930729999999</v>
      </c>
      <c r="Y237">
        <v>53.444818386666668</v>
      </c>
    </row>
    <row r="238" spans="1:25">
      <c r="A238" t="s">
        <v>251</v>
      </c>
      <c r="B238" t="s">
        <v>189</v>
      </c>
      <c r="C238" s="3">
        <v>1.5114522560000001</v>
      </c>
      <c r="D238" s="3">
        <v>0.29368628400000002</v>
      </c>
      <c r="E238" s="3">
        <v>0.38231429700000003</v>
      </c>
      <c r="F238" s="3">
        <v>10.544250549999999</v>
      </c>
      <c r="G238" s="3">
        <v>11.804036330000001</v>
      </c>
      <c r="H238" s="3">
        <v>0.42964954300000002</v>
      </c>
      <c r="I238" s="3">
        <v>3.222390125</v>
      </c>
      <c r="J238" s="3">
        <v>6.7781927270000004</v>
      </c>
      <c r="K238" s="3">
        <v>3.7916599689999999</v>
      </c>
      <c r="L238" s="3">
        <v>0.52161217299999996</v>
      </c>
      <c r="M238" s="3">
        <v>0.681413088</v>
      </c>
      <c r="N238" s="3">
        <v>0.25729049500000001</v>
      </c>
      <c r="O238" s="3">
        <v>0.18463310299999999</v>
      </c>
      <c r="P238" s="3">
        <v>7.2901837360000004</v>
      </c>
      <c r="Q238" s="3">
        <v>1.6623149269999999</v>
      </c>
      <c r="R238" s="3">
        <v>4.4902857420000002</v>
      </c>
      <c r="S238" s="3">
        <v>46.154634649999998</v>
      </c>
      <c r="T238" s="3">
        <v>18.531274369999998</v>
      </c>
      <c r="U238" s="3">
        <v>24.047614169999999</v>
      </c>
      <c r="V238" s="3">
        <v>57.421111459999999</v>
      </c>
      <c r="W238" s="3">
        <v>53.444818390000002</v>
      </c>
      <c r="X238" s="3">
        <v>3.9762930729999999</v>
      </c>
      <c r="Y238">
        <v>53.444818386666668</v>
      </c>
    </row>
    <row r="239" spans="1:25">
      <c r="A239" t="s">
        <v>252</v>
      </c>
      <c r="B239" t="s">
        <v>253</v>
      </c>
      <c r="C239" s="3">
        <v>1.4282562219999999</v>
      </c>
      <c r="D239" s="3">
        <v>0.44485371699999998</v>
      </c>
      <c r="E239" s="3">
        <v>0.48515252599999997</v>
      </c>
      <c r="F239" s="3">
        <v>9.3656380430000006</v>
      </c>
      <c r="G239" s="3">
        <v>11.24095367</v>
      </c>
      <c r="H239" s="3">
        <v>0.42895312899999999</v>
      </c>
      <c r="I239" s="3">
        <v>3.415025102</v>
      </c>
      <c r="J239" s="3">
        <v>6.4744516519999999</v>
      </c>
      <c r="K239" s="3">
        <v>2.691792677</v>
      </c>
      <c r="L239" s="3">
        <v>0.62922193100000001</v>
      </c>
      <c r="M239" s="3">
        <v>1.5391384930000001</v>
      </c>
      <c r="N239" s="3">
        <v>0.33760543999999998</v>
      </c>
      <c r="O239" s="3">
        <v>0.15915596000000001</v>
      </c>
      <c r="P239" s="3">
        <v>11.382704199999999</v>
      </c>
      <c r="Q239" s="3">
        <v>1.8949785640000001</v>
      </c>
      <c r="R239" s="3">
        <v>4.7589965300000001</v>
      </c>
      <c r="S239" s="3">
        <v>43.323122140000002</v>
      </c>
      <c r="T239" s="3">
        <v>17.98483096</v>
      </c>
      <c r="U239" s="3">
        <v>24.458394070000001</v>
      </c>
      <c r="V239" s="3">
        <v>57.556774969999999</v>
      </c>
      <c r="W239" s="3">
        <v>54.705826340000002</v>
      </c>
      <c r="X239" s="3">
        <v>2.8509486380000002</v>
      </c>
      <c r="Y239">
        <v>54.705826339999987</v>
      </c>
    </row>
    <row r="240" spans="1:25">
      <c r="A240" t="s">
        <v>254</v>
      </c>
      <c r="B240" t="s">
        <v>253</v>
      </c>
      <c r="C240" s="3">
        <v>1.4282562219999999</v>
      </c>
      <c r="D240" s="3">
        <v>0.44485371699999998</v>
      </c>
      <c r="E240" s="3">
        <v>0.48515252599999997</v>
      </c>
      <c r="F240" s="3">
        <v>9.3656380430000006</v>
      </c>
      <c r="G240" s="3">
        <v>11.24095367</v>
      </c>
      <c r="H240" s="3">
        <v>0.42895312899999999</v>
      </c>
      <c r="I240" s="3">
        <v>3.415025102</v>
      </c>
      <c r="J240" s="3">
        <v>6.4744516519999999</v>
      </c>
      <c r="K240" s="3">
        <v>2.691792677</v>
      </c>
      <c r="L240" s="3">
        <v>0.62922193100000001</v>
      </c>
      <c r="M240" s="3">
        <v>1.5391384930000001</v>
      </c>
      <c r="N240" s="3">
        <v>0.33760543999999998</v>
      </c>
      <c r="O240" s="3">
        <v>0.15915596000000001</v>
      </c>
      <c r="P240" s="3">
        <v>11.382704199999999</v>
      </c>
      <c r="Q240" s="3">
        <v>1.8949785640000001</v>
      </c>
      <c r="R240" s="3">
        <v>4.7589965300000001</v>
      </c>
      <c r="S240" s="3">
        <v>43.323122140000002</v>
      </c>
      <c r="T240" s="3">
        <v>17.98483096</v>
      </c>
      <c r="U240" s="3">
        <v>24.458394070000001</v>
      </c>
      <c r="V240" s="3">
        <v>57.556774969999999</v>
      </c>
      <c r="W240" s="3">
        <v>54.705826340000002</v>
      </c>
      <c r="X240" s="3">
        <v>2.8509486380000002</v>
      </c>
      <c r="Y240">
        <v>54.705826339999987</v>
      </c>
    </row>
    <row r="241" spans="1:25">
      <c r="A241" t="s">
        <v>255</v>
      </c>
      <c r="B241" t="s">
        <v>253</v>
      </c>
      <c r="C241" s="3">
        <v>1.4282562219999999</v>
      </c>
      <c r="D241" s="3">
        <v>0.44485371699999998</v>
      </c>
      <c r="E241" s="3">
        <v>0.48515252599999997</v>
      </c>
      <c r="F241" s="3">
        <v>9.3656380430000006</v>
      </c>
      <c r="G241" s="3">
        <v>11.24095367</v>
      </c>
      <c r="H241" s="3">
        <v>0.42895312899999999</v>
      </c>
      <c r="I241" s="3">
        <v>3.415025102</v>
      </c>
      <c r="J241" s="3">
        <v>6.4744516519999999</v>
      </c>
      <c r="K241" s="3">
        <v>2.691792677</v>
      </c>
      <c r="L241" s="3">
        <v>0.62922193100000001</v>
      </c>
      <c r="M241" s="3">
        <v>1.5391384930000001</v>
      </c>
      <c r="N241" s="3">
        <v>0.33760543999999998</v>
      </c>
      <c r="O241" s="3">
        <v>0.15915596000000001</v>
      </c>
      <c r="P241" s="3">
        <v>11.382704199999999</v>
      </c>
      <c r="Q241" s="3">
        <v>1.8949785640000001</v>
      </c>
      <c r="R241" s="3">
        <v>4.7589965300000001</v>
      </c>
      <c r="S241" s="3">
        <v>43.323122140000002</v>
      </c>
      <c r="T241" s="3">
        <v>17.98483096</v>
      </c>
      <c r="U241" s="3">
        <v>24.458394070000001</v>
      </c>
      <c r="V241" s="3">
        <v>57.556774969999999</v>
      </c>
      <c r="W241" s="3">
        <v>54.705826340000002</v>
      </c>
      <c r="X241" s="3">
        <v>2.8509486380000002</v>
      </c>
      <c r="Y241">
        <v>54.705826339999987</v>
      </c>
    </row>
    <row r="242" spans="1:25">
      <c r="A242" t="s">
        <v>256</v>
      </c>
      <c r="B242" t="s">
        <v>253</v>
      </c>
      <c r="C242" s="3">
        <v>1.402122584</v>
      </c>
      <c r="D242" s="3">
        <v>0.412036181</v>
      </c>
      <c r="E242" s="3">
        <v>0.452357817</v>
      </c>
      <c r="F242" s="3">
        <v>9.2665183429999995</v>
      </c>
      <c r="G242" s="3">
        <v>9.8243555879999995</v>
      </c>
      <c r="H242" s="3">
        <v>0.40540534499999997</v>
      </c>
      <c r="I242" s="3">
        <v>3.582832174</v>
      </c>
      <c r="J242" s="3">
        <v>7.4375903179999998</v>
      </c>
      <c r="K242" s="3">
        <v>2.1507580069999999</v>
      </c>
      <c r="L242" s="3">
        <v>0.61133798800000005</v>
      </c>
      <c r="M242" s="3">
        <v>1.667221496</v>
      </c>
      <c r="N242" s="3">
        <v>0.34174618800000001</v>
      </c>
      <c r="O242" s="3">
        <v>0.109740636</v>
      </c>
      <c r="P242" s="3">
        <v>12.11547775</v>
      </c>
      <c r="Q242" s="3">
        <v>1.8666355670000001</v>
      </c>
      <c r="R242" s="3">
        <v>4.7573419460000004</v>
      </c>
      <c r="S242" s="3">
        <v>43.59652208</v>
      </c>
      <c r="T242" s="3">
        <v>17.92895601</v>
      </c>
      <c r="U242" s="3">
        <v>24.098545529999999</v>
      </c>
      <c r="V242" s="3">
        <v>57.972498459999997</v>
      </c>
      <c r="W242" s="3">
        <v>55.711999820000003</v>
      </c>
      <c r="X242" s="3">
        <v>2.260498643</v>
      </c>
      <c r="Y242">
        <v>55.711999823333343</v>
      </c>
    </row>
    <row r="243" spans="1:25">
      <c r="A243" t="s">
        <v>257</v>
      </c>
      <c r="B243" t="s">
        <v>253</v>
      </c>
      <c r="C243" s="3">
        <v>1.402122584</v>
      </c>
      <c r="D243" s="3">
        <v>0.412036181</v>
      </c>
      <c r="E243" s="3">
        <v>0.452357817</v>
      </c>
      <c r="F243" s="3">
        <v>9.2665183429999995</v>
      </c>
      <c r="G243" s="3">
        <v>9.8243555879999995</v>
      </c>
      <c r="H243" s="3">
        <v>0.40540534499999997</v>
      </c>
      <c r="I243" s="3">
        <v>3.582832174</v>
      </c>
      <c r="J243" s="3">
        <v>7.4375903179999998</v>
      </c>
      <c r="K243" s="3">
        <v>2.1507580069999999</v>
      </c>
      <c r="L243" s="3">
        <v>0.61133798800000005</v>
      </c>
      <c r="M243" s="3">
        <v>1.667221496</v>
      </c>
      <c r="N243" s="3">
        <v>0.34174618800000001</v>
      </c>
      <c r="O243" s="3">
        <v>0.109740636</v>
      </c>
      <c r="P243" s="3">
        <v>12.11547775</v>
      </c>
      <c r="Q243" s="3">
        <v>1.8666355670000001</v>
      </c>
      <c r="R243" s="3">
        <v>4.7573419460000004</v>
      </c>
      <c r="S243" s="3">
        <v>43.59652208</v>
      </c>
      <c r="T243" s="3">
        <v>17.92895601</v>
      </c>
      <c r="U243" s="3">
        <v>24.098545529999999</v>
      </c>
      <c r="V243" s="3">
        <v>57.972498459999997</v>
      </c>
      <c r="W243" s="3">
        <v>55.711999820000003</v>
      </c>
      <c r="X243" s="3">
        <v>2.260498643</v>
      </c>
      <c r="Y243">
        <v>55.711999823333343</v>
      </c>
    </row>
    <row r="244" spans="1:25">
      <c r="A244" t="s">
        <v>258</v>
      </c>
      <c r="B244" t="s">
        <v>253</v>
      </c>
      <c r="C244" s="3">
        <v>1.402122584</v>
      </c>
      <c r="D244" s="3">
        <v>0.412036181</v>
      </c>
      <c r="E244" s="3">
        <v>0.452357817</v>
      </c>
      <c r="F244" s="3">
        <v>9.2665183429999995</v>
      </c>
      <c r="G244" s="3">
        <v>9.8243555879999995</v>
      </c>
      <c r="H244" s="3">
        <v>0.40540534499999997</v>
      </c>
      <c r="I244" s="3">
        <v>3.582832174</v>
      </c>
      <c r="J244" s="3">
        <v>7.4375903179999998</v>
      </c>
      <c r="K244" s="3">
        <v>2.1507580069999999</v>
      </c>
      <c r="L244" s="3">
        <v>0.61133798800000005</v>
      </c>
      <c r="M244" s="3">
        <v>1.667221496</v>
      </c>
      <c r="N244" s="3">
        <v>0.34174618800000001</v>
      </c>
      <c r="O244" s="3">
        <v>0.109740636</v>
      </c>
      <c r="P244" s="3">
        <v>12.11547775</v>
      </c>
      <c r="Q244" s="3">
        <v>1.8666355670000001</v>
      </c>
      <c r="R244" s="3">
        <v>4.7573419460000004</v>
      </c>
      <c r="S244" s="3">
        <v>43.59652208</v>
      </c>
      <c r="T244" s="3">
        <v>17.92895601</v>
      </c>
      <c r="U244" s="3">
        <v>24.098545529999999</v>
      </c>
      <c r="V244" s="3">
        <v>57.972498459999997</v>
      </c>
      <c r="W244" s="3">
        <v>55.711999820000003</v>
      </c>
      <c r="X244" s="3">
        <v>2.260498643</v>
      </c>
      <c r="Y244">
        <v>55.711999823333343</v>
      </c>
    </row>
    <row r="245" spans="1:25">
      <c r="A245" t="s">
        <v>259</v>
      </c>
      <c r="B245" t="s">
        <v>253</v>
      </c>
      <c r="C245" s="3">
        <v>1.3925935270000001</v>
      </c>
      <c r="D245" s="3">
        <v>0.42933223500000001</v>
      </c>
      <c r="E245" s="3">
        <v>0.49782193299999999</v>
      </c>
      <c r="F245" s="3">
        <v>9.1847854860000009</v>
      </c>
      <c r="G245" s="3">
        <v>11.475256079999999</v>
      </c>
      <c r="H245" s="3">
        <v>0.42514839199999999</v>
      </c>
      <c r="I245" s="3">
        <v>3.5534119070000001</v>
      </c>
      <c r="J245" s="3">
        <v>7.3517739500000001</v>
      </c>
      <c r="K245" s="3">
        <v>1.5170352600000001</v>
      </c>
      <c r="L245" s="3">
        <v>0.69481241000000005</v>
      </c>
      <c r="M245" s="3">
        <v>1.307982303</v>
      </c>
      <c r="N245" s="3">
        <v>0.33682085499999997</v>
      </c>
      <c r="O245" s="3">
        <v>0.108850139</v>
      </c>
      <c r="P245" s="3">
        <v>9.7640506479999996</v>
      </c>
      <c r="Q245" s="3">
        <v>1.8172199689999999</v>
      </c>
      <c r="R245" s="3">
        <v>5.1036097910000002</v>
      </c>
      <c r="S245" s="3">
        <v>45.039495119999998</v>
      </c>
      <c r="T245" s="3">
        <v>17.90261448</v>
      </c>
      <c r="U245" s="3">
        <v>25.667954349999999</v>
      </c>
      <c r="V245" s="3">
        <v>56.429431170000001</v>
      </c>
      <c r="W245" s="3">
        <v>54.803545759999999</v>
      </c>
      <c r="X245" s="3">
        <v>1.625885399</v>
      </c>
      <c r="Y245">
        <v>54.803545763333339</v>
      </c>
    </row>
    <row r="246" spans="1:25">
      <c r="A246" t="s">
        <v>260</v>
      </c>
      <c r="B246" t="s">
        <v>253</v>
      </c>
      <c r="C246" s="3">
        <v>1.3925935270000001</v>
      </c>
      <c r="D246" s="3">
        <v>0.42933223500000001</v>
      </c>
      <c r="E246" s="3">
        <v>0.49782193299999999</v>
      </c>
      <c r="F246" s="3">
        <v>9.1847854860000009</v>
      </c>
      <c r="G246" s="3">
        <v>11.475256079999999</v>
      </c>
      <c r="H246" s="3">
        <v>0.42514839199999999</v>
      </c>
      <c r="I246" s="3">
        <v>3.5534119070000001</v>
      </c>
      <c r="J246" s="3">
        <v>7.3517739500000001</v>
      </c>
      <c r="K246" s="3">
        <v>1.5170352600000001</v>
      </c>
      <c r="L246" s="3">
        <v>0.69481241000000005</v>
      </c>
      <c r="M246" s="3">
        <v>1.307982303</v>
      </c>
      <c r="N246" s="3">
        <v>0.33682085499999997</v>
      </c>
      <c r="O246" s="3">
        <v>0.108850139</v>
      </c>
      <c r="P246" s="3">
        <v>9.7640506479999996</v>
      </c>
      <c r="Q246" s="3">
        <v>1.8172199689999999</v>
      </c>
      <c r="R246" s="3">
        <v>5.1036097910000002</v>
      </c>
      <c r="S246" s="3">
        <v>45.039495119999998</v>
      </c>
      <c r="T246" s="3">
        <v>17.90261448</v>
      </c>
      <c r="U246" s="3">
        <v>25.667954349999999</v>
      </c>
      <c r="V246" s="3">
        <v>56.429431170000001</v>
      </c>
      <c r="W246" s="3">
        <v>54.803545759999999</v>
      </c>
      <c r="X246" s="3">
        <v>1.625885399</v>
      </c>
      <c r="Y246">
        <v>54.803545763333339</v>
      </c>
    </row>
    <row r="247" spans="1:25">
      <c r="A247" t="s">
        <v>261</v>
      </c>
      <c r="B247" t="s">
        <v>253</v>
      </c>
      <c r="C247" s="3">
        <v>1.3925935270000001</v>
      </c>
      <c r="D247" s="3">
        <v>0.42933223500000001</v>
      </c>
      <c r="E247" s="3">
        <v>0.49782193299999999</v>
      </c>
      <c r="F247" s="3">
        <v>9.1847854860000009</v>
      </c>
      <c r="G247" s="3">
        <v>11.475256079999999</v>
      </c>
      <c r="H247" s="3">
        <v>0.42514839199999999</v>
      </c>
      <c r="I247" s="3">
        <v>3.5534119070000001</v>
      </c>
      <c r="J247" s="3">
        <v>7.3517739500000001</v>
      </c>
      <c r="K247" s="3">
        <v>1.5170352600000001</v>
      </c>
      <c r="L247" s="3">
        <v>0.69481241000000005</v>
      </c>
      <c r="M247" s="3">
        <v>1.307982303</v>
      </c>
      <c r="N247" s="3">
        <v>0.33682085499999997</v>
      </c>
      <c r="O247" s="3">
        <v>0.108850139</v>
      </c>
      <c r="P247" s="3">
        <v>9.7640506479999996</v>
      </c>
      <c r="Q247" s="3">
        <v>1.8172199689999999</v>
      </c>
      <c r="R247" s="3">
        <v>5.1036097910000002</v>
      </c>
      <c r="S247" s="3">
        <v>45.039495119999998</v>
      </c>
      <c r="T247" s="3">
        <v>17.90261448</v>
      </c>
      <c r="U247" s="3">
        <v>25.667954349999999</v>
      </c>
      <c r="V247" s="3">
        <v>56.429431170000001</v>
      </c>
      <c r="W247" s="3">
        <v>54.803545759999999</v>
      </c>
      <c r="X247" s="3">
        <v>1.625885399</v>
      </c>
      <c r="Y247">
        <v>54.803545763333339</v>
      </c>
    </row>
    <row r="248" spans="1:25">
      <c r="A248" t="s">
        <v>262</v>
      </c>
      <c r="B248" t="s">
        <v>253</v>
      </c>
      <c r="C248" s="3">
        <v>1.265303662</v>
      </c>
      <c r="D248" s="3">
        <v>0.37910718700000001</v>
      </c>
      <c r="E248" s="3">
        <v>0.43862445900000002</v>
      </c>
      <c r="F248" s="3">
        <v>9.8464974670000007</v>
      </c>
      <c r="G248" s="3">
        <v>8.4570871990000001</v>
      </c>
      <c r="H248" s="3">
        <v>0.36945222599999999</v>
      </c>
      <c r="I248" s="3">
        <v>3.5533236050000001</v>
      </c>
      <c r="J248" s="3">
        <v>7.894225595</v>
      </c>
      <c r="K248" s="3">
        <v>1.4927116789999999</v>
      </c>
      <c r="L248" s="3">
        <v>0.57931708100000001</v>
      </c>
      <c r="M248" s="3">
        <v>0.93025327899999999</v>
      </c>
      <c r="N248" s="3">
        <v>0.320030276</v>
      </c>
      <c r="O248" s="3">
        <v>0.14989058599999999</v>
      </c>
      <c r="P248" s="3">
        <v>8.8875053550000001</v>
      </c>
      <c r="Q248" s="3">
        <v>1.6854715170000001</v>
      </c>
      <c r="R248" s="3">
        <v>5.1184526339999996</v>
      </c>
      <c r="S248" s="3">
        <v>48.632746189999999</v>
      </c>
      <c r="T248" s="3">
        <v>18.058020290000002</v>
      </c>
      <c r="U248" s="3">
        <v>22.77912589</v>
      </c>
      <c r="V248" s="3">
        <v>59.162853810000001</v>
      </c>
      <c r="W248" s="3">
        <v>57.520251549999998</v>
      </c>
      <c r="X248" s="3">
        <v>1.6426022650000001</v>
      </c>
      <c r="Y248">
        <v>57.520251546666657</v>
      </c>
    </row>
    <row r="249" spans="1:25">
      <c r="A249" t="s">
        <v>263</v>
      </c>
      <c r="B249" t="s">
        <v>253</v>
      </c>
      <c r="C249" s="3">
        <v>1.265303662</v>
      </c>
      <c r="D249" s="3">
        <v>0.37910718700000001</v>
      </c>
      <c r="E249" s="3">
        <v>0.43862445900000002</v>
      </c>
      <c r="F249" s="3">
        <v>9.8464974670000007</v>
      </c>
      <c r="G249" s="3">
        <v>8.4570871990000001</v>
      </c>
      <c r="H249" s="3">
        <v>0.36945222599999999</v>
      </c>
      <c r="I249" s="3">
        <v>3.5533236050000001</v>
      </c>
      <c r="J249" s="3">
        <v>7.894225595</v>
      </c>
      <c r="K249" s="3">
        <v>1.4927116789999999</v>
      </c>
      <c r="L249" s="3">
        <v>0.57931708100000001</v>
      </c>
      <c r="M249" s="3">
        <v>0.93025327899999999</v>
      </c>
      <c r="N249" s="3">
        <v>0.320030276</v>
      </c>
      <c r="O249" s="3">
        <v>0.14989058599999999</v>
      </c>
      <c r="P249" s="3">
        <v>8.8875053550000001</v>
      </c>
      <c r="Q249" s="3">
        <v>1.6854715170000001</v>
      </c>
      <c r="R249" s="3">
        <v>5.1184526339999996</v>
      </c>
      <c r="S249" s="3">
        <v>48.632746189999999</v>
      </c>
      <c r="T249" s="3">
        <v>18.058020290000002</v>
      </c>
      <c r="U249" s="3">
        <v>22.77912589</v>
      </c>
      <c r="V249" s="3">
        <v>59.162853810000001</v>
      </c>
      <c r="W249" s="3">
        <v>57.520251549999998</v>
      </c>
      <c r="X249" s="3">
        <v>1.6426022650000001</v>
      </c>
      <c r="Y249">
        <v>57.520251546666657</v>
      </c>
    </row>
    <row r="250" spans="1:25">
      <c r="A250" t="s">
        <v>264</v>
      </c>
      <c r="B250" t="s">
        <v>253</v>
      </c>
      <c r="C250" s="3">
        <v>1.265303662</v>
      </c>
      <c r="D250" s="3">
        <v>0.37910718700000001</v>
      </c>
      <c r="E250" s="3">
        <v>0.43862445900000002</v>
      </c>
      <c r="F250" s="3">
        <v>9.8464974670000007</v>
      </c>
      <c r="G250" s="3">
        <v>8.4570871990000001</v>
      </c>
      <c r="H250" s="3">
        <v>0.36945222599999999</v>
      </c>
      <c r="I250" s="3">
        <v>3.5533236050000001</v>
      </c>
      <c r="J250" s="3">
        <v>7.894225595</v>
      </c>
      <c r="K250" s="3">
        <v>1.4927116789999999</v>
      </c>
      <c r="L250" s="3">
        <v>0.57931708100000001</v>
      </c>
      <c r="M250" s="3">
        <v>0.93025327899999999</v>
      </c>
      <c r="N250" s="3">
        <v>0.320030276</v>
      </c>
      <c r="O250" s="3">
        <v>0.14989058599999999</v>
      </c>
      <c r="P250" s="3">
        <v>8.8875053550000001</v>
      </c>
      <c r="Q250" s="3">
        <v>1.6854715170000001</v>
      </c>
      <c r="R250" s="3">
        <v>5.1184526339999996</v>
      </c>
      <c r="S250" s="3">
        <v>48.632746189999999</v>
      </c>
      <c r="T250" s="3">
        <v>18.058020290000002</v>
      </c>
      <c r="U250" s="3">
        <v>22.77912589</v>
      </c>
      <c r="V250" s="3">
        <v>59.162853810000001</v>
      </c>
      <c r="W250" s="3">
        <v>57.520251549999998</v>
      </c>
      <c r="X250" s="3">
        <v>1.6426022650000001</v>
      </c>
      <c r="Y250">
        <v>57.520251546666657</v>
      </c>
    </row>
    <row r="251" spans="1:25">
      <c r="A251" t="s">
        <v>265</v>
      </c>
      <c r="B251" t="s">
        <v>253</v>
      </c>
      <c r="C251" s="3">
        <v>1.0214280120000001</v>
      </c>
      <c r="D251" s="3">
        <v>0.40505887000000002</v>
      </c>
      <c r="E251" s="3">
        <v>0.47160975399999999</v>
      </c>
      <c r="F251" s="3">
        <v>8.0646475570000007</v>
      </c>
      <c r="G251" s="3">
        <v>4.8054280629999999</v>
      </c>
      <c r="H251" s="3">
        <v>0.37983454700000002</v>
      </c>
      <c r="I251" s="3">
        <v>2.9425139069999999</v>
      </c>
      <c r="J251" s="3">
        <v>6.8065404750000003</v>
      </c>
      <c r="K251" s="3">
        <v>1.213355819</v>
      </c>
      <c r="L251" s="3">
        <v>0.64008321499999998</v>
      </c>
      <c r="M251" s="3">
        <v>1.1244159469999999</v>
      </c>
      <c r="N251" s="3">
        <v>0.37018943399999998</v>
      </c>
      <c r="O251" s="3">
        <v>0.16067763600000001</v>
      </c>
      <c r="P251" s="3">
        <v>7.2134370409999997</v>
      </c>
      <c r="Q251" s="3">
        <v>2.1992249230000001</v>
      </c>
      <c r="R251" s="3">
        <v>5.7739291460000004</v>
      </c>
      <c r="S251" s="3">
        <v>56.78243097</v>
      </c>
      <c r="T251" s="3">
        <v>16.089531350000001</v>
      </c>
      <c r="U251" s="3">
        <v>18.54056718</v>
      </c>
      <c r="V251" s="3">
        <v>65.369901470000002</v>
      </c>
      <c r="W251" s="3">
        <v>63.995868010000002</v>
      </c>
      <c r="X251" s="3">
        <v>1.374033455</v>
      </c>
      <c r="Y251">
        <v>63.995868010000002</v>
      </c>
    </row>
    <row r="252" spans="1:25">
      <c r="A252" t="s">
        <v>266</v>
      </c>
      <c r="B252" t="s">
        <v>253</v>
      </c>
      <c r="C252" s="3">
        <v>1.0214280120000001</v>
      </c>
      <c r="D252" s="3">
        <v>0.40505887000000002</v>
      </c>
      <c r="E252" s="3">
        <v>0.47160975399999999</v>
      </c>
      <c r="F252" s="3">
        <v>8.0646475570000007</v>
      </c>
      <c r="G252" s="3">
        <v>4.8054280629999999</v>
      </c>
      <c r="H252" s="3">
        <v>0.37983454700000002</v>
      </c>
      <c r="I252" s="3">
        <v>2.9425139069999999</v>
      </c>
      <c r="J252" s="3">
        <v>6.8065404750000003</v>
      </c>
      <c r="K252" s="3">
        <v>1.213355819</v>
      </c>
      <c r="L252" s="3">
        <v>0.64008321499999998</v>
      </c>
      <c r="M252" s="3">
        <v>1.1244159469999999</v>
      </c>
      <c r="N252" s="3">
        <v>0.37018943399999998</v>
      </c>
      <c r="O252" s="3">
        <v>0.16067763600000001</v>
      </c>
      <c r="P252" s="3">
        <v>7.2134370409999997</v>
      </c>
      <c r="Q252" s="3">
        <v>2.1992249230000001</v>
      </c>
      <c r="R252" s="3">
        <v>5.7739291460000004</v>
      </c>
      <c r="S252" s="3">
        <v>56.78243097</v>
      </c>
      <c r="T252" s="3">
        <v>16.089531350000001</v>
      </c>
      <c r="U252" s="3">
        <v>18.54056718</v>
      </c>
      <c r="V252" s="3">
        <v>65.369901470000002</v>
      </c>
      <c r="W252" s="3">
        <v>63.995868010000002</v>
      </c>
      <c r="X252" s="3">
        <v>1.374033455</v>
      </c>
      <c r="Y252">
        <v>63.995868010000002</v>
      </c>
    </row>
    <row r="253" spans="1:25">
      <c r="A253" t="s">
        <v>267</v>
      </c>
      <c r="B253" t="s">
        <v>253</v>
      </c>
      <c r="C253" s="3">
        <v>1.0214280120000001</v>
      </c>
      <c r="D253" s="3">
        <v>0.40505887000000002</v>
      </c>
      <c r="E253" s="3">
        <v>0.47160975399999999</v>
      </c>
      <c r="F253" s="3">
        <v>8.0646475570000007</v>
      </c>
      <c r="G253" s="3">
        <v>4.8054280629999999</v>
      </c>
      <c r="H253" s="3">
        <v>0.37983454700000002</v>
      </c>
      <c r="I253" s="3">
        <v>2.9425139069999999</v>
      </c>
      <c r="J253" s="3">
        <v>6.8065404750000003</v>
      </c>
      <c r="K253" s="3">
        <v>1.213355819</v>
      </c>
      <c r="L253" s="3">
        <v>0.64008321499999998</v>
      </c>
      <c r="M253" s="3">
        <v>1.1244159469999999</v>
      </c>
      <c r="N253" s="3">
        <v>0.37018943399999998</v>
      </c>
      <c r="O253" s="3">
        <v>0.16067763600000001</v>
      </c>
      <c r="P253" s="3">
        <v>7.2134370409999997</v>
      </c>
      <c r="Q253" s="3">
        <v>2.1992249230000001</v>
      </c>
      <c r="R253" s="3">
        <v>5.7739291460000004</v>
      </c>
      <c r="S253" s="3">
        <v>56.78243097</v>
      </c>
      <c r="T253" s="3">
        <v>16.089531350000001</v>
      </c>
      <c r="U253" s="3">
        <v>18.54056718</v>
      </c>
      <c r="V253" s="3">
        <v>65.369901470000002</v>
      </c>
      <c r="W253" s="3">
        <v>63.995868010000002</v>
      </c>
      <c r="X253" s="3">
        <v>1.374033455</v>
      </c>
      <c r="Y253">
        <v>63.995868010000002</v>
      </c>
    </row>
    <row r="254" spans="1:25">
      <c r="A254" t="s">
        <v>268</v>
      </c>
      <c r="B254" t="s">
        <v>253</v>
      </c>
      <c r="C254" s="3">
        <v>1.074832786</v>
      </c>
      <c r="D254" s="3">
        <v>0.39851845800000002</v>
      </c>
      <c r="E254" s="3">
        <v>0.436807316</v>
      </c>
      <c r="F254" s="3">
        <v>8.8120093589999993</v>
      </c>
      <c r="G254" s="3">
        <v>4.9922494080000002</v>
      </c>
      <c r="H254" s="3">
        <v>0.44331439</v>
      </c>
      <c r="I254" s="3">
        <v>3.3730744979999998</v>
      </c>
      <c r="J254" s="3">
        <v>5.0026561120000004</v>
      </c>
      <c r="K254" s="3">
        <v>1.4713953879999999</v>
      </c>
      <c r="L254" s="3">
        <v>0.59724094800000005</v>
      </c>
      <c r="M254" s="3">
        <v>0.59781814200000005</v>
      </c>
      <c r="N254" s="3">
        <v>0.30254466400000002</v>
      </c>
      <c r="O254" s="3">
        <v>0.112192339</v>
      </c>
      <c r="P254" s="3">
        <v>8.0861276039999996</v>
      </c>
      <c r="Q254" s="3">
        <v>2.1612841359999999</v>
      </c>
      <c r="R254" s="3">
        <v>5.6177887609999999</v>
      </c>
      <c r="S254" s="3">
        <v>56.620993910000003</v>
      </c>
      <c r="T254" s="3">
        <v>17.100259879999999</v>
      </c>
      <c r="U254" s="3">
        <v>16.609030879999999</v>
      </c>
      <c r="V254" s="3">
        <v>66.290709239999998</v>
      </c>
      <c r="W254" s="3">
        <v>64.707121509999993</v>
      </c>
      <c r="X254" s="3">
        <v>1.5835877270000001</v>
      </c>
      <c r="Y254">
        <v>64.707121513333334</v>
      </c>
    </row>
    <row r="255" spans="1:25">
      <c r="A255" t="s">
        <v>269</v>
      </c>
      <c r="B255" t="s">
        <v>253</v>
      </c>
      <c r="C255" s="3">
        <v>1.074832786</v>
      </c>
      <c r="D255" s="3">
        <v>0.39851845800000002</v>
      </c>
      <c r="E255" s="3">
        <v>0.436807316</v>
      </c>
      <c r="F255" s="3">
        <v>8.8120093589999993</v>
      </c>
      <c r="G255" s="3">
        <v>4.9922494080000002</v>
      </c>
      <c r="H255" s="3">
        <v>0.44331439</v>
      </c>
      <c r="I255" s="3">
        <v>3.3730744979999998</v>
      </c>
      <c r="J255" s="3">
        <v>5.0026561120000004</v>
      </c>
      <c r="K255" s="3">
        <v>1.4713953879999999</v>
      </c>
      <c r="L255" s="3">
        <v>0.59724094800000005</v>
      </c>
      <c r="M255" s="3">
        <v>0.59781814200000005</v>
      </c>
      <c r="N255" s="3">
        <v>0.30254466400000002</v>
      </c>
      <c r="O255" s="3">
        <v>0.112192339</v>
      </c>
      <c r="P255" s="3">
        <v>8.0861276039999996</v>
      </c>
      <c r="Q255" s="3">
        <v>2.1612841359999999</v>
      </c>
      <c r="R255" s="3">
        <v>5.6177887609999999</v>
      </c>
      <c r="S255" s="3">
        <v>56.620993910000003</v>
      </c>
      <c r="T255" s="3">
        <v>17.100259879999999</v>
      </c>
      <c r="U255" s="3">
        <v>16.609030879999999</v>
      </c>
      <c r="V255" s="3">
        <v>66.290709239999998</v>
      </c>
      <c r="W255" s="3">
        <v>64.707121509999993</v>
      </c>
      <c r="X255" s="3">
        <v>1.5835877270000001</v>
      </c>
      <c r="Y255">
        <v>64.707121513333334</v>
      </c>
    </row>
    <row r="256" spans="1:25">
      <c r="A256" t="s">
        <v>270</v>
      </c>
      <c r="B256" t="s">
        <v>253</v>
      </c>
      <c r="C256" s="3">
        <v>1.074832786</v>
      </c>
      <c r="D256" s="3">
        <v>0.39851845800000002</v>
      </c>
      <c r="E256" s="3">
        <v>0.436807316</v>
      </c>
      <c r="F256" s="3">
        <v>8.8120093589999993</v>
      </c>
      <c r="G256" s="3">
        <v>4.9922494080000002</v>
      </c>
      <c r="H256" s="3">
        <v>0.44331439</v>
      </c>
      <c r="I256" s="3">
        <v>3.3730744979999998</v>
      </c>
      <c r="J256" s="3">
        <v>5.0026561120000004</v>
      </c>
      <c r="K256" s="3">
        <v>1.4713953879999999</v>
      </c>
      <c r="L256" s="3">
        <v>0.59724094800000005</v>
      </c>
      <c r="M256" s="3">
        <v>0.59781814200000005</v>
      </c>
      <c r="N256" s="3">
        <v>0.30254466400000002</v>
      </c>
      <c r="O256" s="3">
        <v>0.112192339</v>
      </c>
      <c r="P256" s="3">
        <v>8.0861276039999996</v>
      </c>
      <c r="Q256" s="3">
        <v>2.1612841359999999</v>
      </c>
      <c r="R256" s="3">
        <v>5.6177887609999999</v>
      </c>
      <c r="S256" s="3">
        <v>56.620993910000003</v>
      </c>
      <c r="T256" s="3">
        <v>17.100259879999999</v>
      </c>
      <c r="U256" s="3">
        <v>16.609030879999999</v>
      </c>
      <c r="V256" s="3">
        <v>66.290709239999998</v>
      </c>
      <c r="W256" s="3">
        <v>64.707121509999993</v>
      </c>
      <c r="X256" s="3">
        <v>1.5835877270000001</v>
      </c>
      <c r="Y256">
        <v>64.707121513333334</v>
      </c>
    </row>
    <row r="257" spans="1:54">
      <c r="A257" t="s">
        <v>271</v>
      </c>
      <c r="B257" t="s">
        <v>253</v>
      </c>
      <c r="C257" s="3">
        <v>1.11306547</v>
      </c>
      <c r="D257" s="3">
        <v>0.38157300900000002</v>
      </c>
      <c r="E257" s="3">
        <v>0.45800143399999999</v>
      </c>
      <c r="F257" s="3">
        <v>8.3204161360000004</v>
      </c>
      <c r="G257" s="3">
        <v>6.3729616059999996</v>
      </c>
      <c r="H257" s="3">
        <v>0.37696592000000001</v>
      </c>
      <c r="I257" s="3">
        <v>2.9995839599999998</v>
      </c>
      <c r="J257" s="3">
        <v>6.3086793710000002</v>
      </c>
      <c r="K257" s="3">
        <v>1.1430815080000001</v>
      </c>
      <c r="L257" s="3">
        <v>0.64018357999999997</v>
      </c>
      <c r="M257" s="3">
        <v>1.1520703969999999</v>
      </c>
      <c r="N257" s="3">
        <v>0.333655637</v>
      </c>
      <c r="O257" s="3">
        <v>0.14027563200000001</v>
      </c>
      <c r="P257" s="3">
        <v>8.0858562060000008</v>
      </c>
      <c r="Q257" s="3">
        <v>2.094471467</v>
      </c>
      <c r="R257" s="3">
        <v>5.6818225360000003</v>
      </c>
      <c r="S257" s="3">
        <v>54.781359590000001</v>
      </c>
      <c r="T257" s="3">
        <v>16.336343599999999</v>
      </c>
      <c r="U257" s="3">
        <v>19.51308345</v>
      </c>
      <c r="V257" s="3">
        <v>64.150572940000004</v>
      </c>
      <c r="W257" s="3">
        <v>62.867215799999997</v>
      </c>
      <c r="X257" s="3">
        <v>1.2833571399999999</v>
      </c>
      <c r="Y257">
        <v>62.86721580333333</v>
      </c>
    </row>
    <row r="258" spans="1:54">
      <c r="A258" t="s">
        <v>272</v>
      </c>
      <c r="B258" t="s">
        <v>253</v>
      </c>
      <c r="C258" s="3">
        <v>1.11306547</v>
      </c>
      <c r="D258" s="3">
        <v>0.38157300900000002</v>
      </c>
      <c r="E258" s="3">
        <v>0.45800143399999999</v>
      </c>
      <c r="F258" s="3">
        <v>8.3204161360000004</v>
      </c>
      <c r="G258" s="3">
        <v>6.3729616059999996</v>
      </c>
      <c r="H258" s="3">
        <v>0.37696592000000001</v>
      </c>
      <c r="I258" s="3">
        <v>2.9995839599999998</v>
      </c>
      <c r="J258" s="3">
        <v>6.3086793710000002</v>
      </c>
      <c r="K258" s="3">
        <v>1.1430815080000001</v>
      </c>
      <c r="L258" s="3">
        <v>0.64018357999999997</v>
      </c>
      <c r="M258" s="3">
        <v>1.1520703969999999</v>
      </c>
      <c r="N258" s="3">
        <v>0.333655637</v>
      </c>
      <c r="O258" s="3">
        <v>0.14027563200000001</v>
      </c>
      <c r="P258" s="3">
        <v>8.0858562060000008</v>
      </c>
      <c r="Q258" s="3">
        <v>2.094471467</v>
      </c>
      <c r="R258" s="3">
        <v>5.6818225360000003</v>
      </c>
      <c r="S258" s="3">
        <v>54.781359590000001</v>
      </c>
      <c r="T258" s="3">
        <v>16.336343599999999</v>
      </c>
      <c r="U258" s="3">
        <v>19.51308345</v>
      </c>
      <c r="V258" s="3">
        <v>64.150572940000004</v>
      </c>
      <c r="W258" s="3">
        <v>62.867215799999997</v>
      </c>
      <c r="X258" s="3">
        <v>1.2833571399999999</v>
      </c>
      <c r="Y258">
        <v>62.86721580333333</v>
      </c>
    </row>
    <row r="259" spans="1:54">
      <c r="A259" t="s">
        <v>273</v>
      </c>
      <c r="B259" t="s">
        <v>253</v>
      </c>
      <c r="C259" s="3">
        <v>1.11306547</v>
      </c>
      <c r="D259" s="3">
        <v>0.38157300900000002</v>
      </c>
      <c r="E259" s="3">
        <v>0.45800143399999999</v>
      </c>
      <c r="F259" s="3">
        <v>8.3204161360000004</v>
      </c>
      <c r="G259" s="3">
        <v>6.3729616059999996</v>
      </c>
      <c r="H259" s="3">
        <v>0.37696592000000001</v>
      </c>
      <c r="I259" s="3">
        <v>2.9995839599999998</v>
      </c>
      <c r="J259" s="3">
        <v>6.3086793710000002</v>
      </c>
      <c r="K259" s="3">
        <v>1.1430815080000001</v>
      </c>
      <c r="L259" s="3">
        <v>0.64018357999999997</v>
      </c>
      <c r="M259" s="3">
        <v>1.1520703969999999</v>
      </c>
      <c r="N259" s="3">
        <v>0.333655637</v>
      </c>
      <c r="O259" s="3">
        <v>0.14027563200000001</v>
      </c>
      <c r="P259" s="3">
        <v>8.0858562060000008</v>
      </c>
      <c r="Q259" s="3">
        <v>2.094471467</v>
      </c>
      <c r="R259" s="3">
        <v>5.6818225360000003</v>
      </c>
      <c r="S259" s="3">
        <v>54.781359590000001</v>
      </c>
      <c r="T259" s="3">
        <v>16.336343599999999</v>
      </c>
      <c r="U259" s="3">
        <v>19.51308345</v>
      </c>
      <c r="V259" s="3">
        <v>64.150572940000004</v>
      </c>
      <c r="W259" s="3">
        <v>62.867215799999997</v>
      </c>
      <c r="X259" s="3">
        <v>1.2833571399999999</v>
      </c>
      <c r="Y259">
        <v>62.86721580333333</v>
      </c>
    </row>
    <row r="260" spans="1:54">
      <c r="A260" t="s">
        <v>274</v>
      </c>
      <c r="B260" t="s">
        <v>253</v>
      </c>
      <c r="C260" s="3">
        <v>1.355277066</v>
      </c>
      <c r="D260" s="3">
        <v>0.50530618699999996</v>
      </c>
      <c r="E260" s="3">
        <v>0.59023532499999998</v>
      </c>
      <c r="F260" s="3">
        <v>9.0717319950000004</v>
      </c>
      <c r="G260" s="3">
        <v>5.153639954</v>
      </c>
      <c r="H260" s="3">
        <v>0.47110682599999998</v>
      </c>
      <c r="I260" s="3">
        <v>3.817474544</v>
      </c>
      <c r="J260" s="3">
        <v>6.2248824300000001</v>
      </c>
      <c r="K260" s="3">
        <v>0.86073126700000002</v>
      </c>
      <c r="L260" s="3">
        <v>0.83442597100000004</v>
      </c>
      <c r="M260" s="3">
        <v>1.344352086</v>
      </c>
      <c r="N260" s="3">
        <v>0.42981030399999998</v>
      </c>
      <c r="O260" s="3">
        <v>0.211608606</v>
      </c>
      <c r="P260" s="3">
        <v>9.2332398219999998</v>
      </c>
      <c r="Q260" s="3">
        <v>2.2019367060000001</v>
      </c>
      <c r="R260" s="3">
        <v>5.719697203</v>
      </c>
      <c r="S260" s="3">
        <v>52.422661069999997</v>
      </c>
      <c r="T260" s="3">
        <v>18.771998740000001</v>
      </c>
      <c r="U260" s="3">
        <v>18.499760500000001</v>
      </c>
      <c r="V260" s="3">
        <v>62.728240769999999</v>
      </c>
      <c r="W260" s="3">
        <v>61.655900899999999</v>
      </c>
      <c r="X260" s="3">
        <v>1.0723398740000001</v>
      </c>
      <c r="Y260">
        <v>61.655900896666672</v>
      </c>
    </row>
    <row r="261" spans="1:54">
      <c r="A261" t="s">
        <v>275</v>
      </c>
      <c r="B261" t="s">
        <v>253</v>
      </c>
      <c r="C261" s="3">
        <v>1.355277066</v>
      </c>
      <c r="D261" s="3">
        <v>0.50530618699999996</v>
      </c>
      <c r="E261" s="3">
        <v>0.59023532499999998</v>
      </c>
      <c r="F261" s="3">
        <v>9.0717319950000004</v>
      </c>
      <c r="G261" s="3">
        <v>5.153639954</v>
      </c>
      <c r="H261" s="3">
        <v>0.47110682599999998</v>
      </c>
      <c r="I261" s="3">
        <v>3.817474544</v>
      </c>
      <c r="J261" s="3">
        <v>6.2248824300000001</v>
      </c>
      <c r="K261" s="3">
        <v>0.86073126700000002</v>
      </c>
      <c r="L261" s="3">
        <v>0.83442597100000004</v>
      </c>
      <c r="M261" s="3">
        <v>1.344352086</v>
      </c>
      <c r="N261" s="3">
        <v>0.42981030399999998</v>
      </c>
      <c r="O261" s="3">
        <v>0.211608606</v>
      </c>
      <c r="P261" s="3">
        <v>9.2332398219999998</v>
      </c>
      <c r="Q261" s="3">
        <v>2.2019367060000001</v>
      </c>
      <c r="R261" s="3">
        <v>5.719697203</v>
      </c>
      <c r="S261" s="3">
        <v>52.422661069999997</v>
      </c>
      <c r="T261" s="3">
        <v>18.771998740000001</v>
      </c>
      <c r="U261" s="3">
        <v>18.499760500000001</v>
      </c>
      <c r="V261" s="3">
        <v>62.728240769999999</v>
      </c>
      <c r="W261" s="3">
        <v>61.655900899999999</v>
      </c>
      <c r="X261" s="3">
        <v>1.0723398740000001</v>
      </c>
      <c r="Y261">
        <v>61.655900896666672</v>
      </c>
    </row>
    <row r="262" spans="1:54">
      <c r="A262" t="s">
        <v>276</v>
      </c>
      <c r="B262" t="s">
        <v>253</v>
      </c>
      <c r="C262" s="3">
        <v>1.355277066</v>
      </c>
      <c r="D262" s="3">
        <v>0.50530618699999996</v>
      </c>
      <c r="E262" s="3">
        <v>0.59023532499999998</v>
      </c>
      <c r="F262" s="3">
        <v>9.0717319950000004</v>
      </c>
      <c r="G262" s="3">
        <v>5.153639954</v>
      </c>
      <c r="H262" s="3">
        <v>0.47110682599999998</v>
      </c>
      <c r="I262" s="3">
        <v>3.817474544</v>
      </c>
      <c r="J262" s="3">
        <v>6.2248824300000001</v>
      </c>
      <c r="K262" s="3">
        <v>0.86073126700000002</v>
      </c>
      <c r="L262" s="3">
        <v>0.83442597100000004</v>
      </c>
      <c r="M262" s="3">
        <v>1.344352086</v>
      </c>
      <c r="N262" s="3">
        <v>0.42981030399999998</v>
      </c>
      <c r="O262" s="3">
        <v>0.211608606</v>
      </c>
      <c r="P262" s="3">
        <v>9.2332398219999998</v>
      </c>
      <c r="Q262" s="3">
        <v>2.2019367060000001</v>
      </c>
      <c r="R262" s="3">
        <v>5.719697203</v>
      </c>
      <c r="S262" s="3">
        <v>52.422661069999997</v>
      </c>
      <c r="T262" s="3">
        <v>18.771998740000001</v>
      </c>
      <c r="U262" s="3">
        <v>18.499760500000001</v>
      </c>
      <c r="V262" s="3">
        <v>62.728240769999999</v>
      </c>
      <c r="W262" s="3">
        <v>61.655900899999999</v>
      </c>
      <c r="X262" s="3">
        <v>1.0723398740000001</v>
      </c>
      <c r="Y262">
        <v>61.655900896666672</v>
      </c>
    </row>
    <row r="263" spans="1:54">
      <c r="A263" t="s">
        <v>277</v>
      </c>
      <c r="B263" t="s">
        <v>253</v>
      </c>
      <c r="C263" s="3">
        <v>0.92427729800000002</v>
      </c>
      <c r="D263" s="3">
        <v>0.24125880049999998</v>
      </c>
      <c r="E263" s="3">
        <v>0.31987541350000004</v>
      </c>
      <c r="F263" s="3">
        <v>11.048855115</v>
      </c>
      <c r="G263" s="3">
        <v>5.086385237</v>
      </c>
      <c r="H263" s="3">
        <v>0.357677415</v>
      </c>
      <c r="I263" s="3">
        <v>3.6134965985000003</v>
      </c>
      <c r="J263" s="3">
        <v>5.6556581739999991</v>
      </c>
      <c r="K263" s="3">
        <v>1.9510256754999999</v>
      </c>
      <c r="L263" s="3">
        <v>0.39556728399999996</v>
      </c>
      <c r="M263" s="3">
        <v>0.3798336685</v>
      </c>
      <c r="N263" s="3">
        <v>0.207546966</v>
      </c>
      <c r="O263" s="3">
        <v>1.6690005795</v>
      </c>
      <c r="P263" s="3">
        <v>11.932010245000001</v>
      </c>
      <c r="Q263" s="3">
        <v>1.6341792480000001</v>
      </c>
      <c r="R263" s="3">
        <v>2.0524411580000002</v>
      </c>
      <c r="S263" s="3">
        <v>52.530911119999999</v>
      </c>
      <c r="T263" s="3">
        <v>18.501475335000002</v>
      </c>
      <c r="U263" s="3">
        <v>13.415577039999999</v>
      </c>
      <c r="V263" s="3">
        <v>68.082947625000003</v>
      </c>
      <c r="W263" s="3">
        <v>64.462921370000004</v>
      </c>
      <c r="X263" s="3">
        <v>3.6200262555</v>
      </c>
      <c r="Y263">
        <v>64.462919999999997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</row>
    <row r="264" spans="1:54">
      <c r="A264" t="s">
        <v>278</v>
      </c>
      <c r="B264" t="s">
        <v>253</v>
      </c>
      <c r="C264">
        <v>0.92427729800000002</v>
      </c>
      <c r="D264">
        <v>0.24125880049999998</v>
      </c>
      <c r="E264">
        <v>0.31987541350000004</v>
      </c>
      <c r="F264">
        <v>11.048855115</v>
      </c>
      <c r="G264">
        <v>5.086385237</v>
      </c>
      <c r="H264">
        <v>0.357677415</v>
      </c>
      <c r="I264">
        <v>3.6134965985000003</v>
      </c>
      <c r="J264">
        <v>5.6556581739999991</v>
      </c>
      <c r="K264">
        <v>1.9510256754999999</v>
      </c>
      <c r="L264">
        <v>0.39556728399999996</v>
      </c>
      <c r="M264">
        <v>0.3798336685</v>
      </c>
      <c r="N264">
        <v>0.207546966</v>
      </c>
      <c r="O264">
        <v>1.6690005795</v>
      </c>
      <c r="P264">
        <v>11.932010245000001</v>
      </c>
      <c r="Q264">
        <v>1.6341792480000001</v>
      </c>
      <c r="R264">
        <v>2.0524411580000002</v>
      </c>
      <c r="S264">
        <v>52.530911119999999</v>
      </c>
      <c r="T264">
        <v>18.501475335000002</v>
      </c>
      <c r="U264">
        <v>13.415577039999999</v>
      </c>
      <c r="V264">
        <v>68.082947625000003</v>
      </c>
      <c r="W264">
        <v>64.462921370000004</v>
      </c>
      <c r="X264">
        <v>3.6200262555</v>
      </c>
      <c r="Y264">
        <v>64.462919999999997</v>
      </c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</row>
    <row r="265" spans="1:54">
      <c r="A265" t="s">
        <v>279</v>
      </c>
      <c r="B265" t="s">
        <v>253</v>
      </c>
      <c r="C265">
        <v>0.92427729800000002</v>
      </c>
      <c r="D265">
        <v>0.24125880049999998</v>
      </c>
      <c r="E265">
        <v>0.31987541350000004</v>
      </c>
      <c r="F265">
        <v>11.048855115</v>
      </c>
      <c r="G265">
        <v>5.086385237</v>
      </c>
      <c r="H265">
        <v>0.357677415</v>
      </c>
      <c r="I265">
        <v>3.6134965985000003</v>
      </c>
      <c r="J265">
        <v>5.6556581739999991</v>
      </c>
      <c r="K265">
        <v>1.9510256754999999</v>
      </c>
      <c r="L265">
        <v>0.39556728399999996</v>
      </c>
      <c r="M265">
        <v>0.3798336685</v>
      </c>
      <c r="N265">
        <v>0.207546966</v>
      </c>
      <c r="O265">
        <v>1.6690005795</v>
      </c>
      <c r="P265">
        <v>11.932010245000001</v>
      </c>
      <c r="Q265">
        <v>1.6341792480000001</v>
      </c>
      <c r="R265">
        <v>2.0524411580000002</v>
      </c>
      <c r="S265">
        <v>52.530911119999999</v>
      </c>
      <c r="T265">
        <v>18.501475335000002</v>
      </c>
      <c r="U265">
        <v>13.415577039999999</v>
      </c>
      <c r="V265">
        <v>68.082947625000003</v>
      </c>
      <c r="W265">
        <v>64.462921370000004</v>
      </c>
      <c r="X265">
        <v>3.6200262555</v>
      </c>
      <c r="Y265">
        <v>64.462919999999997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</row>
    <row r="266" spans="1:54">
      <c r="A266" t="s">
        <v>280</v>
      </c>
      <c r="B266" t="s">
        <v>253</v>
      </c>
      <c r="C266" s="3">
        <v>1.1569176999999999</v>
      </c>
      <c r="D266" s="3">
        <v>0.34393048199999998</v>
      </c>
      <c r="E266" s="3">
        <v>0.38609135999999999</v>
      </c>
      <c r="F266" s="3">
        <v>11.80211721</v>
      </c>
      <c r="G266" s="3">
        <v>4.8044264700000001</v>
      </c>
      <c r="H266" s="3">
        <v>0.35305206300000003</v>
      </c>
      <c r="I266" s="3">
        <v>3.7440864490000001</v>
      </c>
      <c r="J266" s="3">
        <v>4.8132119480000002</v>
      </c>
      <c r="K266" s="3">
        <v>1.4045205110000001</v>
      </c>
      <c r="L266" s="3">
        <v>0.52695656700000004</v>
      </c>
      <c r="M266" s="3">
        <v>0.44220770300000001</v>
      </c>
      <c r="N266" s="3">
        <v>0.28401754400000001</v>
      </c>
      <c r="O266" s="3">
        <v>1.518627081</v>
      </c>
      <c r="P266" s="3">
        <v>12.40431543</v>
      </c>
      <c r="Q266" s="3">
        <v>1.7125334480000001</v>
      </c>
      <c r="R266" s="3">
        <v>2.1496155689999998</v>
      </c>
      <c r="S266" s="3">
        <v>52.153372470000001</v>
      </c>
      <c r="T266" s="3">
        <v>19.965772340000001</v>
      </c>
      <c r="U266" s="3">
        <v>12.55339217</v>
      </c>
      <c r="V266" s="3">
        <v>67.480835490000004</v>
      </c>
      <c r="W266" s="3">
        <v>64.557687900000005</v>
      </c>
      <c r="X266" s="3">
        <v>2.9231475919999999</v>
      </c>
      <c r="Y266">
        <v>64.557687900000005</v>
      </c>
    </row>
    <row r="267" spans="1:54">
      <c r="A267" t="s">
        <v>281</v>
      </c>
      <c r="B267" t="s">
        <v>253</v>
      </c>
      <c r="C267" s="3">
        <v>1.1569176999999999</v>
      </c>
      <c r="D267" s="3">
        <v>0.34393048199999998</v>
      </c>
      <c r="E267" s="3">
        <v>0.38609135999999999</v>
      </c>
      <c r="F267" s="3">
        <v>11.80211721</v>
      </c>
      <c r="G267" s="3">
        <v>4.8044264700000001</v>
      </c>
      <c r="H267" s="3">
        <v>0.35305206300000003</v>
      </c>
      <c r="I267" s="3">
        <v>3.7440864490000001</v>
      </c>
      <c r="J267" s="3">
        <v>4.8132119480000002</v>
      </c>
      <c r="K267" s="3">
        <v>1.4045205110000001</v>
      </c>
      <c r="L267" s="3">
        <v>0.52695656700000004</v>
      </c>
      <c r="M267" s="3">
        <v>0.44220770300000001</v>
      </c>
      <c r="N267" s="3">
        <v>0.28401754400000001</v>
      </c>
      <c r="O267" s="3">
        <v>1.518627081</v>
      </c>
      <c r="P267" s="3">
        <v>12.40431543</v>
      </c>
      <c r="Q267" s="3">
        <v>1.7125334480000001</v>
      </c>
      <c r="R267" s="3">
        <v>2.1496155689999998</v>
      </c>
      <c r="S267" s="3">
        <v>52.153372470000001</v>
      </c>
      <c r="T267" s="3">
        <v>19.965772340000001</v>
      </c>
      <c r="U267" s="3">
        <v>12.55339217</v>
      </c>
      <c r="V267" s="3">
        <v>67.480835490000004</v>
      </c>
      <c r="W267" s="3">
        <v>64.557687900000005</v>
      </c>
      <c r="X267" s="3">
        <v>2.9231475919999999</v>
      </c>
      <c r="Y267">
        <v>64.557687900000005</v>
      </c>
    </row>
    <row r="268" spans="1:54">
      <c r="A268" t="s">
        <v>282</v>
      </c>
      <c r="B268" t="s">
        <v>253</v>
      </c>
      <c r="C268" s="3">
        <v>1.1569176999999999</v>
      </c>
      <c r="D268" s="3">
        <v>0.34393048199999998</v>
      </c>
      <c r="E268" s="3">
        <v>0.38609135999999999</v>
      </c>
      <c r="F268" s="3">
        <v>11.80211721</v>
      </c>
      <c r="G268" s="3">
        <v>4.8044264700000001</v>
      </c>
      <c r="H268" s="3">
        <v>0.35305206300000003</v>
      </c>
      <c r="I268" s="3">
        <v>3.7440864490000001</v>
      </c>
      <c r="J268" s="3">
        <v>4.8132119480000002</v>
      </c>
      <c r="K268" s="3">
        <v>1.4045205110000001</v>
      </c>
      <c r="L268" s="3">
        <v>0.52695656700000004</v>
      </c>
      <c r="M268" s="3">
        <v>0.44220770300000001</v>
      </c>
      <c r="N268" s="3">
        <v>0.28401754400000001</v>
      </c>
      <c r="O268" s="3">
        <v>1.518627081</v>
      </c>
      <c r="P268" s="3">
        <v>12.40431543</v>
      </c>
      <c r="Q268" s="3">
        <v>1.7125334480000001</v>
      </c>
      <c r="R268" s="3">
        <v>2.1496155689999998</v>
      </c>
      <c r="S268" s="3">
        <v>52.153372470000001</v>
      </c>
      <c r="T268" s="3">
        <v>19.965772340000001</v>
      </c>
      <c r="U268" s="3">
        <v>12.55339217</v>
      </c>
      <c r="V268" s="3">
        <v>67.480835490000004</v>
      </c>
      <c r="W268" s="3">
        <v>64.557687900000005</v>
      </c>
      <c r="X268" s="3">
        <v>2.9231475919999999</v>
      </c>
      <c r="Y268">
        <v>64.557687900000005</v>
      </c>
    </row>
    <row r="269" spans="1:54">
      <c r="A269" t="s">
        <v>283</v>
      </c>
      <c r="B269" t="s">
        <v>253</v>
      </c>
      <c r="C269" s="3">
        <v>1.3408818140000001</v>
      </c>
      <c r="D269" s="3">
        <v>0.30405612500000001</v>
      </c>
      <c r="E269" s="3">
        <v>0.34981519500000002</v>
      </c>
      <c r="F269" s="3">
        <v>15.06767657</v>
      </c>
      <c r="G269" s="3">
        <v>4.9641098039999996</v>
      </c>
      <c r="H269" s="3">
        <v>0.38075806499999998</v>
      </c>
      <c r="I269" s="3">
        <v>4.0561297759999997</v>
      </c>
      <c r="J269" s="3">
        <v>5.6265708879999998</v>
      </c>
      <c r="K269" s="3">
        <v>1.9709882729999999</v>
      </c>
      <c r="L269" s="3">
        <v>0.39163663799999998</v>
      </c>
      <c r="M269" s="3">
        <v>0.18659436500000001</v>
      </c>
      <c r="N269" s="3">
        <v>0.19725178600000001</v>
      </c>
      <c r="O269" s="3">
        <v>1.3326398079999999</v>
      </c>
      <c r="P269" s="3">
        <v>11.08627218</v>
      </c>
      <c r="Q269" s="3">
        <v>1.427735475</v>
      </c>
      <c r="R269" s="3">
        <v>2.0198482910000002</v>
      </c>
      <c r="S269" s="3">
        <v>49.297034940000003</v>
      </c>
      <c r="T269" s="3">
        <v>23.21188532</v>
      </c>
      <c r="U269" s="3">
        <v>13.10117947</v>
      </c>
      <c r="V269" s="3">
        <v>63.686935210000001</v>
      </c>
      <c r="W269" s="3">
        <v>60.383307129999999</v>
      </c>
      <c r="X269" s="3">
        <v>3.3036280809999998</v>
      </c>
      <c r="Y269">
        <v>60.383307126666658</v>
      </c>
    </row>
    <row r="270" spans="1:54">
      <c r="A270" t="s">
        <v>284</v>
      </c>
      <c r="B270" t="s">
        <v>253</v>
      </c>
      <c r="C270" s="3">
        <v>1.3408818140000001</v>
      </c>
      <c r="D270" s="3">
        <v>0.30405612500000001</v>
      </c>
      <c r="E270" s="3">
        <v>0.34981519500000002</v>
      </c>
      <c r="F270" s="3">
        <v>15.06767657</v>
      </c>
      <c r="G270" s="3">
        <v>4.9641098039999996</v>
      </c>
      <c r="H270" s="3">
        <v>0.38075806499999998</v>
      </c>
      <c r="I270" s="3">
        <v>4.0561297759999997</v>
      </c>
      <c r="J270" s="3">
        <v>5.6265708879999998</v>
      </c>
      <c r="K270" s="3">
        <v>1.9709882729999999</v>
      </c>
      <c r="L270" s="3">
        <v>0.39163663799999998</v>
      </c>
      <c r="M270" s="3">
        <v>0.18659436500000001</v>
      </c>
      <c r="N270" s="3">
        <v>0.19725178600000001</v>
      </c>
      <c r="O270" s="3">
        <v>1.3326398079999999</v>
      </c>
      <c r="P270" s="3">
        <v>11.08627218</v>
      </c>
      <c r="Q270" s="3">
        <v>1.427735475</v>
      </c>
      <c r="R270" s="3">
        <v>2.0198482910000002</v>
      </c>
      <c r="S270" s="3">
        <v>49.297034940000003</v>
      </c>
      <c r="T270" s="3">
        <v>23.21188532</v>
      </c>
      <c r="U270" s="3">
        <v>13.10117947</v>
      </c>
      <c r="V270" s="3">
        <v>63.686935210000001</v>
      </c>
      <c r="W270" s="3">
        <v>60.383307129999999</v>
      </c>
      <c r="X270" s="3">
        <v>3.3036280809999998</v>
      </c>
      <c r="Y270">
        <v>60.383307126666658</v>
      </c>
    </row>
    <row r="271" spans="1:54">
      <c r="A271" t="s">
        <v>285</v>
      </c>
      <c r="B271" t="s">
        <v>253</v>
      </c>
      <c r="C271" s="3">
        <v>1.3408818140000001</v>
      </c>
      <c r="D271" s="3">
        <v>0.30405612500000001</v>
      </c>
      <c r="E271" s="3">
        <v>0.34981519500000002</v>
      </c>
      <c r="F271" s="3">
        <v>15.06767657</v>
      </c>
      <c r="G271" s="3">
        <v>4.9641098039999996</v>
      </c>
      <c r="H271" s="3">
        <v>0.38075806499999998</v>
      </c>
      <c r="I271" s="3">
        <v>4.0561297759999997</v>
      </c>
      <c r="J271" s="3">
        <v>5.6265708879999998</v>
      </c>
      <c r="K271" s="3">
        <v>1.9709882729999999</v>
      </c>
      <c r="L271" s="3">
        <v>0.39163663799999998</v>
      </c>
      <c r="M271" s="3">
        <v>0.18659436500000001</v>
      </c>
      <c r="N271" s="3">
        <v>0.19725178600000001</v>
      </c>
      <c r="O271" s="3">
        <v>1.3326398079999999</v>
      </c>
      <c r="P271" s="3">
        <v>11.08627218</v>
      </c>
      <c r="Q271" s="3">
        <v>1.427735475</v>
      </c>
      <c r="R271" s="3">
        <v>2.0198482910000002</v>
      </c>
      <c r="S271" s="3">
        <v>49.297034940000003</v>
      </c>
      <c r="T271" s="3">
        <v>23.21188532</v>
      </c>
      <c r="U271" s="3">
        <v>13.10117947</v>
      </c>
      <c r="V271" s="3">
        <v>63.686935210000001</v>
      </c>
      <c r="W271" s="3">
        <v>60.383307129999999</v>
      </c>
      <c r="X271" s="3">
        <v>3.3036280809999998</v>
      </c>
      <c r="Y271">
        <v>60.383307126666658</v>
      </c>
    </row>
    <row r="272" spans="1:54">
      <c r="A272" t="s">
        <v>286</v>
      </c>
      <c r="B272" t="s">
        <v>253</v>
      </c>
      <c r="C272" s="3">
        <v>1.037217016</v>
      </c>
      <c r="D272" s="3">
        <v>0.26868551200000002</v>
      </c>
      <c r="E272" s="3">
        <v>0.30076280700000002</v>
      </c>
      <c r="F272" s="3">
        <v>11.2577009</v>
      </c>
      <c r="G272" s="3">
        <v>5.0870988019999999</v>
      </c>
      <c r="H272" s="3">
        <v>0.30128664999999999</v>
      </c>
      <c r="I272" s="3">
        <v>3.2136255149999999</v>
      </c>
      <c r="J272" s="3">
        <v>5.3213287879999998</v>
      </c>
      <c r="K272" s="3">
        <v>1.9105104660000001</v>
      </c>
      <c r="L272" s="3">
        <v>0.37639838599999997</v>
      </c>
      <c r="M272" s="3">
        <v>0.45188064</v>
      </c>
      <c r="N272" s="3">
        <v>0.21009597199999999</v>
      </c>
      <c r="O272" s="3">
        <v>1.444442132</v>
      </c>
      <c r="P272" s="3">
        <v>12.31422281</v>
      </c>
      <c r="Q272" s="3">
        <v>1.72186514</v>
      </c>
      <c r="R272" s="3">
        <v>2.1107014610000001</v>
      </c>
      <c r="S272" s="3">
        <v>52.672176999999998</v>
      </c>
      <c r="T272" s="3">
        <v>18.418952390000001</v>
      </c>
      <c r="U272" s="3">
        <v>13.2396952</v>
      </c>
      <c r="V272" s="3">
        <v>68.341352409999999</v>
      </c>
      <c r="W272" s="3">
        <v>64.986399809999995</v>
      </c>
      <c r="X272" s="3">
        <v>3.354952597</v>
      </c>
      <c r="Y272">
        <v>64.986399813333335</v>
      </c>
    </row>
    <row r="273" spans="1:25">
      <c r="A273" t="s">
        <v>287</v>
      </c>
      <c r="B273" t="s">
        <v>253</v>
      </c>
      <c r="C273" s="3">
        <v>1.037217016</v>
      </c>
      <c r="D273" s="3">
        <v>0.26868551200000002</v>
      </c>
      <c r="E273" s="3">
        <v>0.30076280700000002</v>
      </c>
      <c r="F273" s="3">
        <v>11.2577009</v>
      </c>
      <c r="G273" s="3">
        <v>5.0870988019999999</v>
      </c>
      <c r="H273" s="3">
        <v>0.30128664999999999</v>
      </c>
      <c r="I273" s="3">
        <v>3.2136255149999999</v>
      </c>
      <c r="J273" s="3">
        <v>5.3213287879999998</v>
      </c>
      <c r="K273" s="3">
        <v>1.9105104660000001</v>
      </c>
      <c r="L273" s="3">
        <v>0.37639838599999997</v>
      </c>
      <c r="M273" s="3">
        <v>0.45188064</v>
      </c>
      <c r="N273" s="3">
        <v>0.21009597199999999</v>
      </c>
      <c r="O273" s="3">
        <v>1.444442132</v>
      </c>
      <c r="P273" s="3">
        <v>12.31422281</v>
      </c>
      <c r="Q273" s="3">
        <v>1.72186514</v>
      </c>
      <c r="R273" s="3">
        <v>2.1107014610000001</v>
      </c>
      <c r="S273" s="3">
        <v>52.672176999999998</v>
      </c>
      <c r="T273" s="3">
        <v>18.418952390000001</v>
      </c>
      <c r="U273" s="3">
        <v>13.2396952</v>
      </c>
      <c r="V273" s="3">
        <v>68.341352409999999</v>
      </c>
      <c r="W273" s="3">
        <v>64.986399809999995</v>
      </c>
      <c r="X273" s="3">
        <v>3.354952597</v>
      </c>
      <c r="Y273">
        <v>64.986399813333335</v>
      </c>
    </row>
    <row r="274" spans="1:25">
      <c r="A274" t="s">
        <v>288</v>
      </c>
      <c r="B274" t="s">
        <v>253</v>
      </c>
      <c r="C274" s="3">
        <v>1.037217016</v>
      </c>
      <c r="D274" s="3">
        <v>0.26868551200000002</v>
      </c>
      <c r="E274" s="3">
        <v>0.30076280700000002</v>
      </c>
      <c r="F274" s="3">
        <v>11.2577009</v>
      </c>
      <c r="G274" s="3">
        <v>5.0870988019999999</v>
      </c>
      <c r="H274" s="3">
        <v>0.30128664999999999</v>
      </c>
      <c r="I274" s="3">
        <v>3.2136255149999999</v>
      </c>
      <c r="J274" s="3">
        <v>5.3213287879999998</v>
      </c>
      <c r="K274" s="3">
        <v>1.9105104660000001</v>
      </c>
      <c r="L274" s="3">
        <v>0.37639838599999997</v>
      </c>
      <c r="M274" s="3">
        <v>0.45188064</v>
      </c>
      <c r="N274" s="3">
        <v>0.21009597199999999</v>
      </c>
      <c r="O274" s="3">
        <v>1.444442132</v>
      </c>
      <c r="P274" s="3">
        <v>12.31422281</v>
      </c>
      <c r="Q274" s="3">
        <v>1.72186514</v>
      </c>
      <c r="R274" s="3">
        <v>2.1107014610000001</v>
      </c>
      <c r="S274" s="3">
        <v>52.672176999999998</v>
      </c>
      <c r="T274" s="3">
        <v>18.418952390000001</v>
      </c>
      <c r="U274" s="3">
        <v>13.2396952</v>
      </c>
      <c r="V274" s="3">
        <v>68.341352409999999</v>
      </c>
      <c r="W274" s="3">
        <v>64.986399809999995</v>
      </c>
      <c r="X274" s="3">
        <v>3.354952597</v>
      </c>
      <c r="Y274">
        <v>64.986399813333335</v>
      </c>
    </row>
    <row r="275" spans="1:25">
      <c r="A275" t="s">
        <v>289</v>
      </c>
      <c r="B275" t="s">
        <v>253</v>
      </c>
      <c r="C275" s="3">
        <v>1.1746705120000001</v>
      </c>
      <c r="D275" s="3">
        <v>0.32636464399999998</v>
      </c>
      <c r="E275" s="3">
        <v>0.40039203600000001</v>
      </c>
      <c r="F275" s="3">
        <v>10.47176711</v>
      </c>
      <c r="G275" s="3">
        <v>5.0105762289999998</v>
      </c>
      <c r="H275" s="3">
        <v>0.35332046499999997</v>
      </c>
      <c r="I275" s="3">
        <v>3.3208107359999999</v>
      </c>
      <c r="J275" s="3">
        <v>5.6158448529999996</v>
      </c>
      <c r="K275" s="3">
        <v>1.4914978219999999</v>
      </c>
      <c r="L275" s="3">
        <v>0.52955274900000004</v>
      </c>
      <c r="M275" s="3">
        <v>0.46865186199999997</v>
      </c>
      <c r="N275" s="3">
        <v>0.26859345299999998</v>
      </c>
      <c r="O275" s="3">
        <v>1.4664796</v>
      </c>
      <c r="P275" s="3">
        <v>11.883513669999999</v>
      </c>
      <c r="Q275" s="3">
        <v>1.7215093640000001</v>
      </c>
      <c r="R275" s="3">
        <v>2.2774031830000001</v>
      </c>
      <c r="S275" s="3">
        <v>53.219051710000002</v>
      </c>
      <c r="T275" s="3">
        <v>18.240616429999999</v>
      </c>
      <c r="U275" s="3">
        <v>13.69884077</v>
      </c>
      <c r="V275" s="3">
        <v>68.060542799999993</v>
      </c>
      <c r="W275" s="3">
        <v>65.102565380000001</v>
      </c>
      <c r="X275" s="3">
        <v>2.9579774219999999</v>
      </c>
      <c r="Y275">
        <v>65.102565380000001</v>
      </c>
    </row>
    <row r="276" spans="1:25">
      <c r="A276" t="s">
        <v>290</v>
      </c>
      <c r="B276" t="s">
        <v>253</v>
      </c>
      <c r="C276" s="3">
        <v>1.1746705120000001</v>
      </c>
      <c r="D276" s="3">
        <v>0.32636464399999998</v>
      </c>
      <c r="E276" s="3">
        <v>0.40039203600000001</v>
      </c>
      <c r="F276" s="3">
        <v>10.47176711</v>
      </c>
      <c r="G276" s="3">
        <v>5.0105762289999998</v>
      </c>
      <c r="H276" s="3">
        <v>0.35332046499999997</v>
      </c>
      <c r="I276" s="3">
        <v>3.3208107359999999</v>
      </c>
      <c r="J276" s="3">
        <v>5.6158448529999996</v>
      </c>
      <c r="K276" s="3">
        <v>1.4914978219999999</v>
      </c>
      <c r="L276" s="3">
        <v>0.52955274900000004</v>
      </c>
      <c r="M276" s="3">
        <v>0.46865186199999997</v>
      </c>
      <c r="N276" s="3">
        <v>0.26859345299999998</v>
      </c>
      <c r="O276" s="3">
        <v>1.4664796</v>
      </c>
      <c r="P276" s="3">
        <v>11.883513669999999</v>
      </c>
      <c r="Q276" s="3">
        <v>1.7215093640000001</v>
      </c>
      <c r="R276" s="3">
        <v>2.2774031830000001</v>
      </c>
      <c r="S276" s="3">
        <v>53.219051710000002</v>
      </c>
      <c r="T276" s="3">
        <v>18.240616429999999</v>
      </c>
      <c r="U276" s="3">
        <v>13.69884077</v>
      </c>
      <c r="V276" s="3">
        <v>68.060542799999993</v>
      </c>
      <c r="W276" s="3">
        <v>65.102565380000001</v>
      </c>
      <c r="X276" s="3">
        <v>2.9579774219999999</v>
      </c>
      <c r="Y276">
        <v>65.102565380000001</v>
      </c>
    </row>
    <row r="277" spans="1:25">
      <c r="A277" t="s">
        <v>291</v>
      </c>
      <c r="B277" t="s">
        <v>253</v>
      </c>
      <c r="C277" s="3">
        <v>1.1746705120000001</v>
      </c>
      <c r="D277" s="3">
        <v>0.32636464399999998</v>
      </c>
      <c r="E277" s="3">
        <v>0.40039203600000001</v>
      </c>
      <c r="F277" s="3">
        <v>10.47176711</v>
      </c>
      <c r="G277" s="3">
        <v>5.0105762289999998</v>
      </c>
      <c r="H277" s="3">
        <v>0.35332046499999997</v>
      </c>
      <c r="I277" s="3">
        <v>3.3208107359999999</v>
      </c>
      <c r="J277" s="3">
        <v>5.6158448529999996</v>
      </c>
      <c r="K277" s="3">
        <v>1.4914978219999999</v>
      </c>
      <c r="L277" s="3">
        <v>0.52955274900000004</v>
      </c>
      <c r="M277" s="3">
        <v>0.46865186199999997</v>
      </c>
      <c r="N277" s="3">
        <v>0.26859345299999998</v>
      </c>
      <c r="O277" s="3">
        <v>1.4664796</v>
      </c>
      <c r="P277" s="3">
        <v>11.883513669999999</v>
      </c>
      <c r="Q277" s="3">
        <v>1.7215093640000001</v>
      </c>
      <c r="R277" s="3">
        <v>2.2774031830000001</v>
      </c>
      <c r="S277" s="3">
        <v>53.219051710000002</v>
      </c>
      <c r="T277" s="3">
        <v>18.240616429999999</v>
      </c>
      <c r="U277" s="3">
        <v>13.69884077</v>
      </c>
      <c r="V277" s="3">
        <v>68.060542799999993</v>
      </c>
      <c r="W277" s="3">
        <v>65.102565380000001</v>
      </c>
      <c r="X277" s="3">
        <v>2.9579774219999999</v>
      </c>
      <c r="Y277">
        <v>65.102565380000001</v>
      </c>
    </row>
    <row r="278" spans="1:25">
      <c r="A278" t="s">
        <v>292</v>
      </c>
      <c r="B278" t="s">
        <v>253</v>
      </c>
      <c r="C278" s="3">
        <v>1.5216539259999999</v>
      </c>
      <c r="D278" s="3">
        <v>0.34041292000000001</v>
      </c>
      <c r="E278" s="3">
        <v>0.394164342</v>
      </c>
      <c r="F278" s="3">
        <v>13.290292519999999</v>
      </c>
      <c r="G278" s="3">
        <v>6.239157434</v>
      </c>
      <c r="H278" s="3">
        <v>0.365023759</v>
      </c>
      <c r="I278" s="3">
        <v>3.62251257</v>
      </c>
      <c r="J278" s="3">
        <v>5.6532204799999999</v>
      </c>
      <c r="K278" s="3">
        <v>1.3961128519999999</v>
      </c>
      <c r="L278" s="3">
        <v>0.42452922900000001</v>
      </c>
      <c r="M278" s="3">
        <v>0.64478512700000001</v>
      </c>
      <c r="N278" s="3">
        <v>0.21965394899999999</v>
      </c>
      <c r="O278" s="3">
        <v>0.84520509300000002</v>
      </c>
      <c r="P278" s="3">
        <v>12.26185664</v>
      </c>
      <c r="Q278" s="3">
        <v>1.779778705</v>
      </c>
      <c r="R278" s="3">
        <v>2.0230620240000001</v>
      </c>
      <c r="S278" s="3">
        <v>48.978578429999999</v>
      </c>
      <c r="T278" s="3">
        <v>21.617609000000002</v>
      </c>
      <c r="U278" s="3">
        <v>14.90063799</v>
      </c>
      <c r="V278" s="3">
        <v>63.481753019999999</v>
      </c>
      <c r="W278" s="3">
        <v>61.240435069999997</v>
      </c>
      <c r="X278" s="3">
        <v>2.241317945</v>
      </c>
      <c r="Y278">
        <v>61.240435073333337</v>
      </c>
    </row>
    <row r="279" spans="1:25">
      <c r="A279" t="s">
        <v>293</v>
      </c>
      <c r="B279" t="s">
        <v>253</v>
      </c>
      <c r="C279" s="3">
        <v>1.5216539259999999</v>
      </c>
      <c r="D279" s="3">
        <v>0.34041292000000001</v>
      </c>
      <c r="E279" s="3">
        <v>0.394164342</v>
      </c>
      <c r="F279" s="3">
        <v>13.290292519999999</v>
      </c>
      <c r="G279" s="3">
        <v>6.239157434</v>
      </c>
      <c r="H279" s="3">
        <v>0.365023759</v>
      </c>
      <c r="I279" s="3">
        <v>3.62251257</v>
      </c>
      <c r="J279" s="3">
        <v>5.6532204799999999</v>
      </c>
      <c r="K279" s="3">
        <v>1.3961128519999999</v>
      </c>
      <c r="L279" s="3">
        <v>0.42452922900000001</v>
      </c>
      <c r="M279" s="3">
        <v>0.64478512700000001</v>
      </c>
      <c r="N279" s="3">
        <v>0.21965394899999999</v>
      </c>
      <c r="O279" s="3">
        <v>0.84520509300000002</v>
      </c>
      <c r="P279" s="3">
        <v>12.26185664</v>
      </c>
      <c r="Q279" s="3">
        <v>1.779778705</v>
      </c>
      <c r="R279" s="3">
        <v>2.0230620240000001</v>
      </c>
      <c r="S279" s="3">
        <v>48.978578429999999</v>
      </c>
      <c r="T279" s="3">
        <v>21.617609000000002</v>
      </c>
      <c r="U279" s="3">
        <v>14.90063799</v>
      </c>
      <c r="V279" s="3">
        <v>63.481753019999999</v>
      </c>
      <c r="W279" s="3">
        <v>61.240435069999997</v>
      </c>
      <c r="X279" s="3">
        <v>2.241317945</v>
      </c>
      <c r="Y279">
        <v>61.240435073333337</v>
      </c>
    </row>
    <row r="280" spans="1:25">
      <c r="A280" t="s">
        <v>294</v>
      </c>
      <c r="B280" t="s">
        <v>253</v>
      </c>
      <c r="C280" s="3">
        <v>1.5216539259999999</v>
      </c>
      <c r="D280" s="3">
        <v>0.34041292000000001</v>
      </c>
      <c r="E280" s="3">
        <v>0.394164342</v>
      </c>
      <c r="F280" s="3">
        <v>13.290292519999999</v>
      </c>
      <c r="G280" s="3">
        <v>6.239157434</v>
      </c>
      <c r="H280" s="3">
        <v>0.365023759</v>
      </c>
      <c r="I280" s="3">
        <v>3.62251257</v>
      </c>
      <c r="J280" s="3">
        <v>5.6532204799999999</v>
      </c>
      <c r="K280" s="3">
        <v>1.3961128519999999</v>
      </c>
      <c r="L280" s="3">
        <v>0.42452922900000001</v>
      </c>
      <c r="M280" s="3">
        <v>0.64478512700000001</v>
      </c>
      <c r="N280" s="3">
        <v>0.21965394899999999</v>
      </c>
      <c r="O280" s="3">
        <v>0.84520509300000002</v>
      </c>
      <c r="P280" s="3">
        <v>12.26185664</v>
      </c>
      <c r="Q280" s="3">
        <v>1.779778705</v>
      </c>
      <c r="R280" s="3">
        <v>2.0230620240000001</v>
      </c>
      <c r="S280" s="3">
        <v>48.978578429999999</v>
      </c>
      <c r="T280" s="3">
        <v>21.617609000000002</v>
      </c>
      <c r="U280" s="3">
        <v>14.90063799</v>
      </c>
      <c r="V280" s="3">
        <v>63.481753019999999</v>
      </c>
      <c r="W280" s="3">
        <v>61.240435069999997</v>
      </c>
      <c r="X280" s="3">
        <v>2.241317945</v>
      </c>
      <c r="Y280">
        <v>61.240435073333337</v>
      </c>
    </row>
    <row r="281" spans="1:25">
      <c r="A281" t="s">
        <v>295</v>
      </c>
      <c r="B281" t="s">
        <v>253</v>
      </c>
      <c r="C281" s="3">
        <v>1.7859091060000001</v>
      </c>
      <c r="D281" s="3">
        <v>0.506891604</v>
      </c>
      <c r="E281" s="3">
        <v>0.58263036899999998</v>
      </c>
      <c r="F281" s="3">
        <v>14.08532144</v>
      </c>
      <c r="G281" s="3">
        <v>5.391388568</v>
      </c>
      <c r="H281" s="3">
        <v>0.485577333</v>
      </c>
      <c r="I281" s="3">
        <v>4.1279761989999999</v>
      </c>
      <c r="J281" s="3">
        <v>5.3694072820000001</v>
      </c>
      <c r="K281" s="3">
        <v>0.85017757900000002</v>
      </c>
      <c r="L281" s="3">
        <v>0.78452085800000004</v>
      </c>
      <c r="M281" s="3">
        <v>0.66150223399999997</v>
      </c>
      <c r="N281" s="3">
        <v>0.38919025499999998</v>
      </c>
      <c r="O281" s="3">
        <v>1.211750713</v>
      </c>
      <c r="P281" s="3">
        <v>13.58431364</v>
      </c>
      <c r="Q281" s="3">
        <v>1.8910021450000001</v>
      </c>
      <c r="R281" s="3">
        <v>2.2365960469999999</v>
      </c>
      <c r="S281" s="3">
        <v>46.339237150000002</v>
      </c>
      <c r="T281" s="3">
        <v>24.132127709999999</v>
      </c>
      <c r="U281" s="3">
        <v>14.16578574</v>
      </c>
      <c r="V281" s="3">
        <v>61.702086559999998</v>
      </c>
      <c r="W281" s="3">
        <v>59.92355079</v>
      </c>
      <c r="X281" s="3">
        <v>1.778535765</v>
      </c>
      <c r="Y281">
        <v>59.92355079</v>
      </c>
    </row>
    <row r="282" spans="1:25">
      <c r="A282" t="s">
        <v>296</v>
      </c>
      <c r="B282" t="s">
        <v>253</v>
      </c>
      <c r="C282" s="3">
        <v>1.7859091060000001</v>
      </c>
      <c r="D282" s="3">
        <v>0.506891604</v>
      </c>
      <c r="E282" s="3">
        <v>0.58263036899999998</v>
      </c>
      <c r="F282" s="3">
        <v>14.08532144</v>
      </c>
      <c r="G282" s="3">
        <v>5.391388568</v>
      </c>
      <c r="H282" s="3">
        <v>0.485577333</v>
      </c>
      <c r="I282" s="3">
        <v>4.1279761989999999</v>
      </c>
      <c r="J282" s="3">
        <v>5.3694072820000001</v>
      </c>
      <c r="K282" s="3">
        <v>0.85017757900000002</v>
      </c>
      <c r="L282" s="3">
        <v>0.78452085800000004</v>
      </c>
      <c r="M282" s="3">
        <v>0.66150223399999997</v>
      </c>
      <c r="N282" s="3">
        <v>0.38919025499999998</v>
      </c>
      <c r="O282" s="3">
        <v>1.211750713</v>
      </c>
      <c r="P282" s="3">
        <v>13.58431364</v>
      </c>
      <c r="Q282" s="3">
        <v>1.8910021450000001</v>
      </c>
      <c r="R282" s="3">
        <v>2.2365960469999999</v>
      </c>
      <c r="S282" s="3">
        <v>46.339237150000002</v>
      </c>
      <c r="T282" s="3">
        <v>24.132127709999999</v>
      </c>
      <c r="U282" s="3">
        <v>14.16578574</v>
      </c>
      <c r="V282" s="3">
        <v>61.702086559999998</v>
      </c>
      <c r="W282" s="3">
        <v>59.92355079</v>
      </c>
      <c r="X282" s="3">
        <v>1.778535765</v>
      </c>
      <c r="Y282">
        <v>59.92355079</v>
      </c>
    </row>
    <row r="283" spans="1:25">
      <c r="A283" t="s">
        <v>297</v>
      </c>
      <c r="B283" t="s">
        <v>253</v>
      </c>
      <c r="C283" s="3">
        <v>1.7859091060000001</v>
      </c>
      <c r="D283" s="3">
        <v>0.506891604</v>
      </c>
      <c r="E283" s="3">
        <v>0.58263036899999998</v>
      </c>
      <c r="F283" s="3">
        <v>14.08532144</v>
      </c>
      <c r="G283" s="3">
        <v>5.391388568</v>
      </c>
      <c r="H283" s="3">
        <v>0.485577333</v>
      </c>
      <c r="I283" s="3">
        <v>4.1279761989999999</v>
      </c>
      <c r="J283" s="3">
        <v>5.3694072820000001</v>
      </c>
      <c r="K283" s="3">
        <v>0.85017757900000002</v>
      </c>
      <c r="L283" s="3">
        <v>0.78452085800000004</v>
      </c>
      <c r="M283" s="3">
        <v>0.66150223399999997</v>
      </c>
      <c r="N283" s="3">
        <v>0.38919025499999998</v>
      </c>
      <c r="O283" s="3">
        <v>1.211750713</v>
      </c>
      <c r="P283" s="3">
        <v>13.58431364</v>
      </c>
      <c r="Q283" s="3">
        <v>1.8910021450000001</v>
      </c>
      <c r="R283" s="3">
        <v>2.2365960469999999</v>
      </c>
      <c r="S283" s="3">
        <v>46.339237150000002</v>
      </c>
      <c r="T283" s="3">
        <v>24.132127709999999</v>
      </c>
      <c r="U283" s="3">
        <v>14.16578574</v>
      </c>
      <c r="V283" s="3">
        <v>61.702086559999998</v>
      </c>
      <c r="W283" s="3">
        <v>59.92355079</v>
      </c>
      <c r="X283" s="3">
        <v>1.778535765</v>
      </c>
      <c r="Y283">
        <v>59.92355079</v>
      </c>
    </row>
    <row r="284" spans="1:25">
      <c r="A284" t="s">
        <v>298</v>
      </c>
      <c r="B284" t="s">
        <v>253</v>
      </c>
      <c r="C284" s="3">
        <v>1.1064757110000001</v>
      </c>
      <c r="D284" s="3">
        <v>0.29395048899999998</v>
      </c>
      <c r="E284" s="3">
        <v>0.342702536</v>
      </c>
      <c r="F284" s="3">
        <v>9.6174643209999999</v>
      </c>
      <c r="G284" s="3">
        <v>4.982332843</v>
      </c>
      <c r="H284" s="3">
        <v>0.31373738499999998</v>
      </c>
      <c r="I284" s="3">
        <v>2.939866775</v>
      </c>
      <c r="J284" s="3">
        <v>4.3011487739999996</v>
      </c>
      <c r="K284" s="3">
        <v>1.539117316</v>
      </c>
      <c r="L284" s="3">
        <v>0.42507312000000003</v>
      </c>
      <c r="M284" s="3">
        <v>0.66433185400000005</v>
      </c>
      <c r="N284" s="3">
        <v>0.22941926100000001</v>
      </c>
      <c r="O284" s="3">
        <v>0.98397095199999995</v>
      </c>
      <c r="P284" s="3">
        <v>13.4704757</v>
      </c>
      <c r="Q284" s="3">
        <v>1.8540454479999999</v>
      </c>
      <c r="R284" s="3">
        <v>2.3363172560000001</v>
      </c>
      <c r="S284" s="3">
        <v>54.59957026</v>
      </c>
      <c r="T284" s="3">
        <v>16.828784559999999</v>
      </c>
      <c r="U284" s="3">
        <v>12.578081210000001</v>
      </c>
      <c r="V284" s="3">
        <v>70.593134230000004</v>
      </c>
      <c r="W284" s="3">
        <v>68.070045960000002</v>
      </c>
      <c r="X284" s="3">
        <v>2.523088268</v>
      </c>
      <c r="Y284">
        <v>68.070045960000002</v>
      </c>
    </row>
    <row r="285" spans="1:25">
      <c r="A285" t="s">
        <v>299</v>
      </c>
      <c r="B285" t="s">
        <v>253</v>
      </c>
      <c r="C285" s="3">
        <v>1.1064757110000001</v>
      </c>
      <c r="D285" s="3">
        <v>0.29395048899999998</v>
      </c>
      <c r="E285" s="3">
        <v>0.342702536</v>
      </c>
      <c r="F285" s="3">
        <v>9.6174643209999999</v>
      </c>
      <c r="G285" s="3">
        <v>4.982332843</v>
      </c>
      <c r="H285" s="3">
        <v>0.31373738499999998</v>
      </c>
      <c r="I285" s="3">
        <v>2.939866775</v>
      </c>
      <c r="J285" s="3">
        <v>4.3011487739999996</v>
      </c>
      <c r="K285" s="3">
        <v>1.539117316</v>
      </c>
      <c r="L285" s="3">
        <v>0.42507312000000003</v>
      </c>
      <c r="M285" s="3">
        <v>0.66433185400000005</v>
      </c>
      <c r="N285" s="3">
        <v>0.22941926100000001</v>
      </c>
      <c r="O285" s="3">
        <v>0.98397095199999995</v>
      </c>
      <c r="P285" s="3">
        <v>13.4704757</v>
      </c>
      <c r="Q285" s="3">
        <v>1.8540454479999999</v>
      </c>
      <c r="R285" s="3">
        <v>2.3363172560000001</v>
      </c>
      <c r="S285" s="3">
        <v>54.59957026</v>
      </c>
      <c r="T285" s="3">
        <v>16.828784559999999</v>
      </c>
      <c r="U285" s="3">
        <v>12.578081210000001</v>
      </c>
      <c r="V285" s="3">
        <v>70.593134230000004</v>
      </c>
      <c r="W285" s="3">
        <v>68.070045960000002</v>
      </c>
      <c r="X285" s="3">
        <v>2.523088268</v>
      </c>
      <c r="Y285">
        <v>68.070045960000002</v>
      </c>
    </row>
    <row r="286" spans="1:25">
      <c r="A286" t="s">
        <v>300</v>
      </c>
      <c r="B286" t="s">
        <v>253</v>
      </c>
      <c r="C286" s="3">
        <v>1.1064757110000001</v>
      </c>
      <c r="D286" s="3">
        <v>0.29395048899999998</v>
      </c>
      <c r="E286" s="3">
        <v>0.342702536</v>
      </c>
      <c r="F286" s="3">
        <v>9.6174643209999999</v>
      </c>
      <c r="G286" s="3">
        <v>4.982332843</v>
      </c>
      <c r="H286" s="3">
        <v>0.31373738499999998</v>
      </c>
      <c r="I286" s="3">
        <v>2.939866775</v>
      </c>
      <c r="J286" s="3">
        <v>4.3011487739999996</v>
      </c>
      <c r="K286" s="3">
        <v>1.539117316</v>
      </c>
      <c r="L286" s="3">
        <v>0.42507312000000003</v>
      </c>
      <c r="M286" s="3">
        <v>0.66433185400000005</v>
      </c>
      <c r="N286" s="3">
        <v>0.22941926100000001</v>
      </c>
      <c r="O286" s="3">
        <v>0.98397095199999995</v>
      </c>
      <c r="P286" s="3">
        <v>13.4704757</v>
      </c>
      <c r="Q286" s="3">
        <v>1.8540454479999999</v>
      </c>
      <c r="R286" s="3">
        <v>2.3363172560000001</v>
      </c>
      <c r="S286" s="3">
        <v>54.59957026</v>
      </c>
      <c r="T286" s="3">
        <v>16.828784559999999</v>
      </c>
      <c r="U286" s="3">
        <v>12.578081210000001</v>
      </c>
      <c r="V286" s="3">
        <v>70.593134230000004</v>
      </c>
      <c r="W286" s="3">
        <v>68.070045960000002</v>
      </c>
      <c r="X286" s="3">
        <v>2.523088268</v>
      </c>
      <c r="Y286">
        <v>68.070045960000002</v>
      </c>
    </row>
    <row r="287" spans="1:25">
      <c r="A287" t="s">
        <v>301</v>
      </c>
      <c r="B287" t="s">
        <v>253</v>
      </c>
      <c r="C287" s="3">
        <v>1.696157645</v>
      </c>
      <c r="D287" s="3">
        <v>0.490665872</v>
      </c>
      <c r="E287" s="3">
        <v>0.53556022599999997</v>
      </c>
      <c r="F287" s="3">
        <v>11.055355179999999</v>
      </c>
      <c r="G287" s="3">
        <v>5.6329464490000003</v>
      </c>
      <c r="H287" s="3">
        <v>0.46713228200000001</v>
      </c>
      <c r="I287" s="3">
        <v>4.1427094579999997</v>
      </c>
      <c r="J287" s="3">
        <v>6.0198004510000001</v>
      </c>
      <c r="K287" s="3">
        <v>0.94698391999999998</v>
      </c>
      <c r="L287" s="3">
        <v>0.70393483599999995</v>
      </c>
      <c r="M287" s="3">
        <v>1.032998493</v>
      </c>
      <c r="N287" s="3">
        <v>0.44117175600000003</v>
      </c>
      <c r="O287" s="3">
        <v>0.16537791399999999</v>
      </c>
      <c r="P287" s="3">
        <v>11.0596242</v>
      </c>
      <c r="Q287" s="3">
        <v>1.9892482849999999</v>
      </c>
      <c r="R287" s="3">
        <v>3.7181744179999998</v>
      </c>
      <c r="S287" s="3">
        <v>49.902158620000002</v>
      </c>
      <c r="T287" s="3">
        <v>21.03126966</v>
      </c>
      <c r="U287" s="3">
        <v>16.894585679999999</v>
      </c>
      <c r="V287" s="3">
        <v>62.074144650000001</v>
      </c>
      <c r="W287" s="3">
        <v>60.961782820000003</v>
      </c>
      <c r="X287" s="3">
        <v>1.1123618340000001</v>
      </c>
      <c r="Y287">
        <v>60.961782820000003</v>
      </c>
    </row>
    <row r="288" spans="1:25" ht="18" customHeight="1">
      <c r="A288" t="s">
        <v>302</v>
      </c>
      <c r="B288" t="s">
        <v>253</v>
      </c>
      <c r="C288" s="3">
        <v>1.696157645</v>
      </c>
      <c r="D288" s="3">
        <v>0.490665872</v>
      </c>
      <c r="E288" s="3">
        <v>0.53556022599999997</v>
      </c>
      <c r="F288" s="3">
        <v>11.055355179999999</v>
      </c>
      <c r="G288" s="3">
        <v>5.6329464490000003</v>
      </c>
      <c r="H288" s="3">
        <v>0.46713228200000001</v>
      </c>
      <c r="I288" s="3">
        <v>4.1427094579999997</v>
      </c>
      <c r="J288" s="3">
        <v>6.0198004510000001</v>
      </c>
      <c r="K288" s="3">
        <v>0.94698391999999998</v>
      </c>
      <c r="L288" s="3">
        <v>0.70393483599999995</v>
      </c>
      <c r="M288" s="3">
        <v>1.032998493</v>
      </c>
      <c r="N288" s="3">
        <v>0.44117175600000003</v>
      </c>
      <c r="O288" s="3">
        <v>0.16537791399999999</v>
      </c>
      <c r="P288" s="3">
        <v>11.0596242</v>
      </c>
      <c r="Q288" s="3">
        <v>1.9892482849999999</v>
      </c>
      <c r="R288" s="3">
        <v>3.7181744179999998</v>
      </c>
      <c r="S288" s="3">
        <v>49.902158620000002</v>
      </c>
      <c r="T288" s="3">
        <v>21.03126966</v>
      </c>
      <c r="U288" s="3">
        <v>16.894585679999999</v>
      </c>
      <c r="V288" s="3">
        <v>62.074144650000001</v>
      </c>
      <c r="W288" s="3">
        <v>60.961782820000003</v>
      </c>
      <c r="X288" s="3">
        <v>1.1123618340000001</v>
      </c>
      <c r="Y288">
        <v>60.961782820000003</v>
      </c>
    </row>
    <row r="289" spans="1:25">
      <c r="A289" t="s">
        <v>303</v>
      </c>
      <c r="B289" t="s">
        <v>253</v>
      </c>
      <c r="C289" s="3">
        <v>1.696157645</v>
      </c>
      <c r="D289" s="3">
        <v>0.490665872</v>
      </c>
      <c r="E289" s="3">
        <v>0.53556022599999997</v>
      </c>
      <c r="F289" s="3">
        <v>11.055355179999999</v>
      </c>
      <c r="G289" s="3">
        <v>5.6329464490000003</v>
      </c>
      <c r="H289" s="3">
        <v>0.46713228200000001</v>
      </c>
      <c r="I289" s="3">
        <v>4.1427094579999997</v>
      </c>
      <c r="J289" s="3">
        <v>6.0198004510000001</v>
      </c>
      <c r="K289" s="3">
        <v>0.94698391999999998</v>
      </c>
      <c r="L289" s="3">
        <v>0.70393483599999995</v>
      </c>
      <c r="M289" s="3">
        <v>1.032998493</v>
      </c>
      <c r="N289" s="3">
        <v>0.44117175600000003</v>
      </c>
      <c r="O289" s="3">
        <v>0.16537791399999999</v>
      </c>
      <c r="P289" s="3">
        <v>11.0596242</v>
      </c>
      <c r="Q289" s="3">
        <v>1.9892482849999999</v>
      </c>
      <c r="R289" s="3">
        <v>3.7181744179999998</v>
      </c>
      <c r="S289" s="3">
        <v>49.902158620000002</v>
      </c>
      <c r="T289" s="3">
        <v>21.03126966</v>
      </c>
      <c r="U289" s="3">
        <v>16.894585679999999</v>
      </c>
      <c r="V289" s="3">
        <v>62.074144650000001</v>
      </c>
      <c r="W289" s="3">
        <v>60.961782820000003</v>
      </c>
      <c r="X289" s="3">
        <v>1.1123618340000001</v>
      </c>
      <c r="Y289">
        <v>60.961782820000003</v>
      </c>
    </row>
    <row r="290" spans="1:25">
      <c r="A290" s="2"/>
    </row>
    <row r="291" spans="1:25"/>
    <row r="292" spans="1:25"/>
    <row r="293" spans="1:25"/>
    <row r="294" spans="1:25"/>
    <row r="295" spans="1:25"/>
    <row r="296" spans="1:25"/>
    <row r="297" spans="1:25"/>
    <row r="298" spans="1:25"/>
    <row r="299" spans="1:25"/>
    <row r="300" spans="1:25"/>
    <row r="301" spans="1:25"/>
    <row r="302" spans="1:25"/>
    <row r="303" spans="1:25"/>
    <row r="304" spans="1:25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80B90-DE15-4B4B-8BF7-762ED243B7CA}">
  <dimension ref="A1:AT304"/>
  <sheetViews>
    <sheetView workbookViewId="0">
      <selection activeCell="R53" sqref="R53:V135"/>
    </sheetView>
  </sheetViews>
  <sheetFormatPr defaultRowHeight="15.75"/>
  <cols>
    <col min="9" max="9" width="13.25" customWidth="1"/>
    <col min="10" max="10" width="14.5" customWidth="1"/>
    <col min="16" max="17" width="9.125" bestFit="1" customWidth="1"/>
  </cols>
  <sheetData>
    <row r="1" spans="1:17">
      <c r="A1" s="1" t="s">
        <v>0</v>
      </c>
      <c r="B1" t="s">
        <v>1</v>
      </c>
      <c r="C1" s="3" t="s">
        <v>307</v>
      </c>
      <c r="D1" s="3" t="s">
        <v>308</v>
      </c>
      <c r="E1" s="3" t="s">
        <v>310</v>
      </c>
      <c r="F1" s="3" t="s">
        <v>311</v>
      </c>
      <c r="G1" s="3" t="s">
        <v>312</v>
      </c>
      <c r="H1" s="3" t="s">
        <v>322</v>
      </c>
      <c r="I1" s="3" t="s">
        <v>323</v>
      </c>
      <c r="J1" s="3" t="s">
        <v>324</v>
      </c>
      <c r="K1" s="3" t="s">
        <v>319</v>
      </c>
      <c r="L1" s="3" t="s">
        <v>4</v>
      </c>
      <c r="M1" s="3" t="s">
        <v>2</v>
      </c>
      <c r="N1" s="3" t="s">
        <v>3</v>
      </c>
      <c r="O1" s="3" t="s">
        <v>7</v>
      </c>
      <c r="P1" s="3" t="s">
        <v>5</v>
      </c>
      <c r="Q1" s="3" t="s">
        <v>6</v>
      </c>
    </row>
    <row r="2" spans="1:17">
      <c r="A2" t="s">
        <v>8</v>
      </c>
      <c r="B2" t="s">
        <v>9</v>
      </c>
      <c r="C2" s="3">
        <v>17.449122800000001</v>
      </c>
      <c r="D2" s="3">
        <v>8.3806305299999995</v>
      </c>
      <c r="E2" s="3">
        <v>1.2031454690000001</v>
      </c>
      <c r="F2" s="3">
        <v>2.1784957770000002</v>
      </c>
      <c r="G2" s="3">
        <v>14.513286069999999</v>
      </c>
      <c r="H2" s="3">
        <v>1.092563529</v>
      </c>
      <c r="I2" s="3">
        <v>1.231443083</v>
      </c>
      <c r="J2" s="3">
        <v>11.558777389999999</v>
      </c>
      <c r="K2" s="3">
        <v>0.58169638400000001</v>
      </c>
      <c r="L2" s="3">
        <v>33.25466393</v>
      </c>
      <c r="M2" s="3">
        <f>C2+F2</f>
        <v>19.627618577</v>
      </c>
      <c r="N2" s="3">
        <f>D2+G2+K2+E2</f>
        <v>24.678758452999997</v>
      </c>
      <c r="O2" s="3">
        <f>J2+I2+H2+L2</f>
        <v>47.137447932000001</v>
      </c>
      <c r="P2" s="3">
        <v>45.536134769999997</v>
      </c>
      <c r="Q2" s="3">
        <v>2.5494283690000001</v>
      </c>
    </row>
    <row r="3" spans="1:17">
      <c r="A3" t="s">
        <v>10</v>
      </c>
      <c r="B3" t="s">
        <v>9</v>
      </c>
      <c r="C3" s="3">
        <v>17.449122800000001</v>
      </c>
      <c r="D3" s="3">
        <v>8.3806305299999995</v>
      </c>
      <c r="E3" s="3">
        <v>1.2031454690000001</v>
      </c>
      <c r="F3" s="3">
        <v>2.1784957770000002</v>
      </c>
      <c r="G3" s="3">
        <v>14.513286069999999</v>
      </c>
      <c r="H3" s="3">
        <v>1.092563529</v>
      </c>
      <c r="I3" s="3">
        <v>1.231443083</v>
      </c>
      <c r="J3" s="3">
        <v>11.558777389999999</v>
      </c>
      <c r="K3" s="3">
        <v>0.58169638400000001</v>
      </c>
      <c r="L3" s="3">
        <v>33.25466393</v>
      </c>
      <c r="M3" s="3">
        <f>C3+F3</f>
        <v>19.627618577</v>
      </c>
      <c r="N3" s="3">
        <f>D3+G3+K3+E3</f>
        <v>24.678758452999997</v>
      </c>
      <c r="O3" s="3">
        <f t="shared" ref="O2:O19" si="0">J3+I3+H3+L3</f>
        <v>47.137447932000001</v>
      </c>
      <c r="P3" s="3">
        <v>45.536134769999997</v>
      </c>
      <c r="Q3" s="3">
        <v>2.5494283690000001</v>
      </c>
    </row>
    <row r="4" spans="1:17">
      <c r="A4" t="s">
        <v>11</v>
      </c>
      <c r="B4" t="s">
        <v>9</v>
      </c>
      <c r="C4" s="3">
        <v>17.449122800000001</v>
      </c>
      <c r="D4" s="3">
        <v>8.3806305299999995</v>
      </c>
      <c r="E4" s="3">
        <v>1.2031454690000001</v>
      </c>
      <c r="F4" s="3">
        <v>2.1784957770000002</v>
      </c>
      <c r="G4" s="3">
        <v>14.513286069999999</v>
      </c>
      <c r="H4" s="3">
        <v>1.092563529</v>
      </c>
      <c r="I4" s="3">
        <v>1.231443083</v>
      </c>
      <c r="J4" s="3">
        <v>11.558777389999999</v>
      </c>
      <c r="K4" s="3">
        <v>0.58169638400000001</v>
      </c>
      <c r="L4" s="3">
        <v>33.25466393</v>
      </c>
      <c r="M4" s="3">
        <f>C4+F4</f>
        <v>19.627618577</v>
      </c>
      <c r="N4" s="3">
        <f>D4+G4+K4+E4</f>
        <v>24.678758452999997</v>
      </c>
      <c r="O4" s="3">
        <f t="shared" si="0"/>
        <v>47.137447932000001</v>
      </c>
      <c r="P4" s="3">
        <v>45.536134769999997</v>
      </c>
      <c r="Q4" s="3">
        <v>2.5494283690000001</v>
      </c>
    </row>
    <row r="5" spans="1:17">
      <c r="A5" t="s">
        <v>12</v>
      </c>
      <c r="B5" t="s">
        <v>9</v>
      </c>
      <c r="C5" s="3">
        <v>17.844212710000001</v>
      </c>
      <c r="D5" s="3">
        <v>6.0166178199999996</v>
      </c>
      <c r="E5" s="3">
        <v>0.493065435</v>
      </c>
      <c r="F5" s="3">
        <v>3.2595676189999998</v>
      </c>
      <c r="G5" s="3">
        <v>17.182748700000001</v>
      </c>
      <c r="H5" s="3">
        <v>0.88761158699999998</v>
      </c>
      <c r="I5" s="3">
        <v>1.1022718970000001</v>
      </c>
      <c r="J5" s="3">
        <v>10.51816685</v>
      </c>
      <c r="K5" s="3">
        <v>1.391789647</v>
      </c>
      <c r="L5" s="3">
        <v>34.982994949999998</v>
      </c>
      <c r="M5" s="3">
        <f t="shared" ref="M3:M66" si="1">C5+F5</f>
        <v>21.103780328999999</v>
      </c>
      <c r="N5" s="3">
        <f>D5+G5+K5+E5</f>
        <v>25.084221602</v>
      </c>
      <c r="O5" s="3">
        <f t="shared" si="0"/>
        <v>47.491045283999995</v>
      </c>
      <c r="P5" s="3">
        <v>46.138210960000002</v>
      </c>
      <c r="Q5" s="3">
        <v>3.0620024140000002</v>
      </c>
    </row>
    <row r="6" spans="1:17">
      <c r="A6" t="s">
        <v>13</v>
      </c>
      <c r="B6" t="s">
        <v>9</v>
      </c>
      <c r="C6" s="3">
        <v>17.844212710000001</v>
      </c>
      <c r="D6" s="3">
        <v>6.0166178199999996</v>
      </c>
      <c r="E6" s="3">
        <v>0.493065435</v>
      </c>
      <c r="F6" s="3">
        <v>3.2595676189999998</v>
      </c>
      <c r="G6" s="3">
        <v>17.182748700000001</v>
      </c>
      <c r="H6" s="3">
        <v>0.88761158699999998</v>
      </c>
      <c r="I6" s="3">
        <v>1.1022718970000001</v>
      </c>
      <c r="J6" s="3">
        <v>10.51816685</v>
      </c>
      <c r="K6" s="3">
        <v>1.391789647</v>
      </c>
      <c r="L6" s="3">
        <v>34.982994949999998</v>
      </c>
      <c r="M6" s="3">
        <f t="shared" si="1"/>
        <v>21.103780328999999</v>
      </c>
      <c r="N6" s="3">
        <f>D6+G6+K6+E6</f>
        <v>25.084221602</v>
      </c>
      <c r="O6" s="3">
        <f t="shared" si="0"/>
        <v>47.491045283999995</v>
      </c>
      <c r="P6" s="3">
        <v>46.138210960000002</v>
      </c>
      <c r="Q6" s="3">
        <v>3.0620024140000002</v>
      </c>
    </row>
    <row r="7" spans="1:17">
      <c r="A7" t="s">
        <v>14</v>
      </c>
      <c r="B7" t="s">
        <v>9</v>
      </c>
      <c r="C7" s="3">
        <v>17.844212710000001</v>
      </c>
      <c r="D7" s="3">
        <v>6.0166178199999996</v>
      </c>
      <c r="E7" s="3">
        <v>0.493065435</v>
      </c>
      <c r="F7" s="3">
        <v>3.2595676189999998</v>
      </c>
      <c r="G7" s="3">
        <v>17.182748700000001</v>
      </c>
      <c r="H7" s="3">
        <v>0.88761158699999998</v>
      </c>
      <c r="I7" s="3">
        <v>1.1022718970000001</v>
      </c>
      <c r="J7" s="3">
        <v>10.51816685</v>
      </c>
      <c r="K7" s="3">
        <v>1.391789647</v>
      </c>
      <c r="L7" s="3">
        <v>34.982994949999998</v>
      </c>
      <c r="M7" s="3">
        <f t="shared" si="1"/>
        <v>21.103780328999999</v>
      </c>
      <c r="N7" s="3">
        <f>D7+G7+K7+E7</f>
        <v>25.084221602</v>
      </c>
      <c r="O7" s="3">
        <f t="shared" si="0"/>
        <v>47.491045283999995</v>
      </c>
      <c r="P7" s="3">
        <v>46.138210960000002</v>
      </c>
      <c r="Q7" s="3">
        <v>3.0620024140000002</v>
      </c>
    </row>
    <row r="8" spans="1:17">
      <c r="A8" t="s">
        <v>15</v>
      </c>
      <c r="B8" t="s">
        <v>16</v>
      </c>
      <c r="C8" s="3">
        <v>17.30763194</v>
      </c>
      <c r="D8" s="3">
        <v>8.7263789200000002</v>
      </c>
      <c r="E8" s="3">
        <v>0.62431055000000002</v>
      </c>
      <c r="F8" s="3">
        <v>2.8986652639999999</v>
      </c>
      <c r="G8" s="3">
        <v>21.00974458</v>
      </c>
      <c r="H8" s="3">
        <v>2.1709588549999999</v>
      </c>
      <c r="I8" s="3">
        <v>1.5015104699999999</v>
      </c>
      <c r="J8" s="3">
        <v>15.07001314</v>
      </c>
      <c r="K8" s="3">
        <v>0.718690999</v>
      </c>
      <c r="L8" s="3">
        <v>23.828449599999999</v>
      </c>
      <c r="M8" s="3">
        <f t="shared" si="1"/>
        <v>20.206297204000002</v>
      </c>
      <c r="N8" s="3">
        <f>D8+G8+K8+E8</f>
        <v>31.079125048999998</v>
      </c>
      <c r="O8" s="3">
        <f t="shared" si="0"/>
        <v>42.570932064999994</v>
      </c>
      <c r="P8" s="3">
        <v>39.690825820000001</v>
      </c>
      <c r="Q8" s="3">
        <v>4.6071818530000002</v>
      </c>
    </row>
    <row r="9" spans="1:17">
      <c r="A9" t="s">
        <v>17</v>
      </c>
      <c r="B9" t="s">
        <v>16</v>
      </c>
      <c r="C9" s="3">
        <v>17.30763194</v>
      </c>
      <c r="D9" s="3">
        <v>8.7263789200000002</v>
      </c>
      <c r="E9" s="3">
        <v>0.62431055000000002</v>
      </c>
      <c r="F9" s="3">
        <v>2.8986652639999999</v>
      </c>
      <c r="G9" s="3">
        <v>21.00974458</v>
      </c>
      <c r="H9" s="3">
        <v>2.1709588549999999</v>
      </c>
      <c r="I9" s="3">
        <v>1.5015104699999999</v>
      </c>
      <c r="J9" s="3">
        <v>15.07001314</v>
      </c>
      <c r="K9" s="3">
        <v>0.718690999</v>
      </c>
      <c r="L9" s="3">
        <v>23.828449599999999</v>
      </c>
      <c r="M9" s="3">
        <f t="shared" si="1"/>
        <v>20.206297204000002</v>
      </c>
      <c r="N9" s="3">
        <f>D9+G9+K9+E9</f>
        <v>31.079125048999998</v>
      </c>
      <c r="O9" s="3">
        <f t="shared" si="0"/>
        <v>42.570932064999994</v>
      </c>
      <c r="P9" s="3">
        <v>39.690825820000001</v>
      </c>
      <c r="Q9" s="3">
        <v>4.6071818530000002</v>
      </c>
    </row>
    <row r="10" spans="1:17">
      <c r="A10" t="s">
        <v>18</v>
      </c>
      <c r="B10" t="s">
        <v>16</v>
      </c>
      <c r="C10" s="3">
        <v>17.30763194</v>
      </c>
      <c r="D10" s="3">
        <v>8.7263789200000002</v>
      </c>
      <c r="E10" s="3">
        <v>0.62431055000000002</v>
      </c>
      <c r="F10" s="3">
        <v>2.8986652639999999</v>
      </c>
      <c r="G10" s="3">
        <v>21.00974458</v>
      </c>
      <c r="H10" s="3">
        <v>2.1709588549999999</v>
      </c>
      <c r="I10" s="3">
        <v>1.5015104699999999</v>
      </c>
      <c r="J10" s="3">
        <v>15.07001314</v>
      </c>
      <c r="K10" s="3">
        <v>0.718690999</v>
      </c>
      <c r="L10" s="3">
        <v>23.828449599999999</v>
      </c>
      <c r="M10" s="3">
        <f t="shared" si="1"/>
        <v>20.206297204000002</v>
      </c>
      <c r="N10" s="3">
        <f>D10+G10+K10+E10</f>
        <v>31.079125048999998</v>
      </c>
      <c r="O10" s="3">
        <f t="shared" si="0"/>
        <v>42.570932064999994</v>
      </c>
      <c r="P10" s="3">
        <v>39.690825820000001</v>
      </c>
      <c r="Q10" s="3">
        <v>4.6071818530000002</v>
      </c>
    </row>
    <row r="11" spans="1:17">
      <c r="A11" t="s">
        <v>19</v>
      </c>
      <c r="B11" t="s">
        <v>16</v>
      </c>
      <c r="C11" s="3">
        <v>16.337860639999999</v>
      </c>
      <c r="D11" s="3">
        <v>10.14850152</v>
      </c>
      <c r="E11" s="3">
        <v>1.56906116</v>
      </c>
      <c r="F11" s="3">
        <v>2.824890898</v>
      </c>
      <c r="G11" s="3">
        <v>15.786732929999999</v>
      </c>
      <c r="H11" s="3">
        <v>1.0406698940000001</v>
      </c>
      <c r="I11" s="3">
        <v>1.6543352710000001</v>
      </c>
      <c r="J11" s="3">
        <v>19.661598290000001</v>
      </c>
      <c r="K11" s="3">
        <v>0.43381803299999999</v>
      </c>
      <c r="L11" s="3">
        <v>21.76211936</v>
      </c>
      <c r="M11" s="3">
        <f t="shared" si="1"/>
        <v>19.162751537999998</v>
      </c>
      <c r="N11" s="3">
        <f>D11+G11+K11+E11</f>
        <v>27.938113643000001</v>
      </c>
      <c r="O11" s="3">
        <f t="shared" si="0"/>
        <v>44.118722814999998</v>
      </c>
      <c r="P11" s="3">
        <v>42.398623980000004</v>
      </c>
      <c r="Q11" s="3">
        <v>4.0030257259999997</v>
      </c>
    </row>
    <row r="12" spans="1:17">
      <c r="A12" t="s">
        <v>20</v>
      </c>
      <c r="B12" t="s">
        <v>16</v>
      </c>
      <c r="C12" s="3">
        <v>16.337860639999999</v>
      </c>
      <c r="D12" s="3">
        <v>10.14850152</v>
      </c>
      <c r="E12" s="3">
        <v>1.56906116</v>
      </c>
      <c r="F12" s="3">
        <v>2.824890898</v>
      </c>
      <c r="G12" s="3">
        <v>15.786732929999999</v>
      </c>
      <c r="H12" s="3">
        <v>1.0406698940000001</v>
      </c>
      <c r="I12" s="3">
        <v>1.6543352710000001</v>
      </c>
      <c r="J12" s="3">
        <v>19.661598290000001</v>
      </c>
      <c r="K12" s="3">
        <v>0.43381803299999999</v>
      </c>
      <c r="L12" s="3">
        <v>21.76211936</v>
      </c>
      <c r="M12" s="3">
        <f t="shared" si="1"/>
        <v>19.162751537999998</v>
      </c>
      <c r="N12" s="3">
        <f>D12+G12+K12+E12</f>
        <v>27.938113643000001</v>
      </c>
      <c r="O12" s="3">
        <f t="shared" si="0"/>
        <v>44.118722814999998</v>
      </c>
      <c r="P12" s="3">
        <v>42.398623980000004</v>
      </c>
      <c r="Q12" s="3">
        <v>4.0030257259999997</v>
      </c>
    </row>
    <row r="13" spans="1:17">
      <c r="A13" t="s">
        <v>21</v>
      </c>
      <c r="B13" t="s">
        <v>16</v>
      </c>
      <c r="C13" s="3">
        <v>16.337860639999999</v>
      </c>
      <c r="D13" s="3">
        <v>10.14850152</v>
      </c>
      <c r="E13" s="3">
        <v>1.56906116</v>
      </c>
      <c r="F13" s="3">
        <v>2.824890898</v>
      </c>
      <c r="G13" s="3">
        <v>15.786732929999999</v>
      </c>
      <c r="H13" s="3">
        <v>1.0406698940000001</v>
      </c>
      <c r="I13" s="3">
        <v>1.6543352710000001</v>
      </c>
      <c r="J13" s="3">
        <v>19.661598290000001</v>
      </c>
      <c r="K13" s="3">
        <v>0.43381803299999999</v>
      </c>
      <c r="L13" s="3">
        <v>21.76211936</v>
      </c>
      <c r="M13" s="3">
        <f t="shared" si="1"/>
        <v>19.162751537999998</v>
      </c>
      <c r="N13" s="3">
        <f>D13+G13+K13+E13</f>
        <v>27.938113643000001</v>
      </c>
      <c r="O13" s="3">
        <f t="shared" si="0"/>
        <v>44.118722814999998</v>
      </c>
      <c r="P13" s="3">
        <v>42.398623980000004</v>
      </c>
      <c r="Q13" s="3">
        <v>4.0030257259999997</v>
      </c>
    </row>
    <row r="14" spans="1:17">
      <c r="A14" t="s">
        <v>22</v>
      </c>
      <c r="B14" t="s">
        <v>16</v>
      </c>
      <c r="C14" s="3">
        <v>20.667536040000002</v>
      </c>
      <c r="D14" s="3">
        <v>5.5334296690000002</v>
      </c>
      <c r="E14" s="3">
        <v>0.81415430200000005</v>
      </c>
      <c r="F14" s="3">
        <v>2.6609805099999999</v>
      </c>
      <c r="G14" s="3">
        <v>22.324040459999999</v>
      </c>
      <c r="H14" s="3">
        <v>5.3924505690000002</v>
      </c>
      <c r="I14" s="3">
        <v>1.3252035390000001</v>
      </c>
      <c r="J14" s="3">
        <v>5.1774574419999997</v>
      </c>
      <c r="K14" s="3">
        <v>1.0044760859999999</v>
      </c>
      <c r="L14" s="3">
        <v>29.644380219999999</v>
      </c>
      <c r="M14" s="3">
        <f t="shared" si="1"/>
        <v>23.328516550000003</v>
      </c>
      <c r="N14" s="3">
        <f>D14+G14+K14+E14</f>
        <v>29.676100516999998</v>
      </c>
      <c r="O14" s="3">
        <f t="shared" si="0"/>
        <v>41.539491769999998</v>
      </c>
      <c r="P14" s="3">
        <v>35.632467490000003</v>
      </c>
      <c r="Q14" s="3">
        <v>7.440171995</v>
      </c>
    </row>
    <row r="15" spans="1:17">
      <c r="A15" t="s">
        <v>23</v>
      </c>
      <c r="B15" t="s">
        <v>16</v>
      </c>
      <c r="C15" s="3">
        <v>20.667536040000002</v>
      </c>
      <c r="D15" s="3">
        <v>5.5334296690000002</v>
      </c>
      <c r="E15" s="3">
        <v>0.81415430200000005</v>
      </c>
      <c r="F15" s="3">
        <v>2.6609805099999999</v>
      </c>
      <c r="G15" s="3">
        <v>22.324040459999999</v>
      </c>
      <c r="H15" s="3">
        <v>5.3924505690000002</v>
      </c>
      <c r="I15" s="3">
        <v>1.3252035390000001</v>
      </c>
      <c r="J15" s="3">
        <v>5.1774574419999997</v>
      </c>
      <c r="K15" s="3">
        <v>1.0044760859999999</v>
      </c>
      <c r="L15" s="3">
        <v>29.644380219999999</v>
      </c>
      <c r="M15" s="3">
        <f t="shared" si="1"/>
        <v>23.328516550000003</v>
      </c>
      <c r="N15" s="3">
        <f>D15+G15+K15+E15</f>
        <v>29.676100516999998</v>
      </c>
      <c r="O15" s="3">
        <f t="shared" si="0"/>
        <v>41.539491769999998</v>
      </c>
      <c r="P15" s="3">
        <v>35.632467490000003</v>
      </c>
      <c r="Q15" s="3">
        <v>7.440171995</v>
      </c>
    </row>
    <row r="16" spans="1:17">
      <c r="A16" t="s">
        <v>24</v>
      </c>
      <c r="B16" t="s">
        <v>16</v>
      </c>
      <c r="C16" s="3">
        <v>20.667536040000002</v>
      </c>
      <c r="D16" s="3">
        <v>5.5334296690000002</v>
      </c>
      <c r="E16" s="3">
        <v>0.81415430200000005</v>
      </c>
      <c r="F16" s="3">
        <v>2.6609805099999999</v>
      </c>
      <c r="G16" s="3">
        <v>22.324040459999999</v>
      </c>
      <c r="H16" s="3">
        <v>5.3924505690000002</v>
      </c>
      <c r="I16" s="3">
        <v>1.3252035390000001</v>
      </c>
      <c r="J16" s="3">
        <v>5.1774574419999997</v>
      </c>
      <c r="K16" s="3">
        <v>1.0044760859999999</v>
      </c>
      <c r="L16" s="3">
        <v>29.644380219999999</v>
      </c>
      <c r="M16" s="3">
        <f t="shared" si="1"/>
        <v>23.328516550000003</v>
      </c>
      <c r="N16" s="3">
        <f>D16+G16+K16+E16</f>
        <v>29.676100516999998</v>
      </c>
      <c r="O16" s="3">
        <f t="shared" si="0"/>
        <v>41.539491769999998</v>
      </c>
      <c r="P16" s="3">
        <v>35.632467490000003</v>
      </c>
      <c r="Q16" s="3">
        <v>7.440171995</v>
      </c>
    </row>
    <row r="17" spans="1:17">
      <c r="A17" t="s">
        <v>25</v>
      </c>
      <c r="B17" t="s">
        <v>16</v>
      </c>
      <c r="C17" s="3">
        <v>17.625015510000001</v>
      </c>
      <c r="D17" s="3">
        <v>7.1596972330000002</v>
      </c>
      <c r="E17" s="3">
        <v>0.456632337</v>
      </c>
      <c r="F17" s="3">
        <v>2.5710385900000001</v>
      </c>
      <c r="G17" s="3">
        <v>21.776895400000001</v>
      </c>
      <c r="H17" s="3">
        <v>5.0006204240000001</v>
      </c>
      <c r="I17" s="3">
        <v>1.121727261</v>
      </c>
      <c r="J17" s="3">
        <v>4.4372750959999996</v>
      </c>
      <c r="K17" s="3">
        <v>1.2681474129999999</v>
      </c>
      <c r="L17" s="3">
        <v>32.334036480000002</v>
      </c>
      <c r="M17" s="3">
        <f t="shared" si="1"/>
        <v>20.196054100000001</v>
      </c>
      <c r="N17" s="3">
        <f>D17+G17+K17+E17</f>
        <v>30.661372383</v>
      </c>
      <c r="O17" s="3">
        <f t="shared" si="0"/>
        <v>42.893659261000003</v>
      </c>
      <c r="P17" s="3">
        <v>37.87814865</v>
      </c>
      <c r="Q17" s="3">
        <v>6.9760516189999997</v>
      </c>
    </row>
    <row r="18" spans="1:17">
      <c r="A18" t="s">
        <v>26</v>
      </c>
      <c r="B18" t="s">
        <v>16</v>
      </c>
      <c r="C18" s="3">
        <v>17.625015510000001</v>
      </c>
      <c r="D18" s="3">
        <v>7.1596972330000002</v>
      </c>
      <c r="E18" s="3">
        <v>0.456632337</v>
      </c>
      <c r="F18" s="3">
        <v>2.5710385900000001</v>
      </c>
      <c r="G18" s="3">
        <v>21.776895400000001</v>
      </c>
      <c r="H18" s="3">
        <v>5.0006204240000001</v>
      </c>
      <c r="I18" s="3">
        <v>1.121727261</v>
      </c>
      <c r="J18" s="3">
        <v>4.4372750959999996</v>
      </c>
      <c r="K18" s="3">
        <v>1.2681474129999999</v>
      </c>
      <c r="L18" s="3">
        <v>32.334036480000002</v>
      </c>
      <c r="M18" s="3">
        <f t="shared" si="1"/>
        <v>20.196054100000001</v>
      </c>
      <c r="N18" s="3">
        <f>D18+G18+K18+E18</f>
        <v>30.661372383</v>
      </c>
      <c r="O18" s="3">
        <f t="shared" si="0"/>
        <v>42.893659261000003</v>
      </c>
      <c r="P18" s="3">
        <v>37.87814865</v>
      </c>
      <c r="Q18" s="3">
        <v>6.9760516189999997</v>
      </c>
    </row>
    <row r="19" spans="1:17">
      <c r="A19" t="s">
        <v>27</v>
      </c>
      <c r="B19" t="s">
        <v>16</v>
      </c>
      <c r="C19" s="3">
        <v>17.625015510000001</v>
      </c>
      <c r="D19" s="3">
        <v>7.1596972330000002</v>
      </c>
      <c r="E19" s="3">
        <v>0.456632337</v>
      </c>
      <c r="F19" s="3">
        <v>2.5710385900000001</v>
      </c>
      <c r="G19" s="3">
        <v>21.776895400000001</v>
      </c>
      <c r="H19" s="3">
        <v>5.0006204240000001</v>
      </c>
      <c r="I19" s="3">
        <v>1.121727261</v>
      </c>
      <c r="J19" s="3">
        <v>4.4372750959999996</v>
      </c>
      <c r="K19" s="3">
        <v>1.2681474129999999</v>
      </c>
      <c r="L19" s="3">
        <v>32.334036480000002</v>
      </c>
      <c r="M19" s="3">
        <f t="shared" si="1"/>
        <v>20.196054100000001</v>
      </c>
      <c r="N19" s="3">
        <f>D19+G19+K19+E19</f>
        <v>30.661372383</v>
      </c>
      <c r="O19" s="3">
        <f t="shared" si="0"/>
        <v>42.893659261000003</v>
      </c>
      <c r="P19" s="3">
        <v>37.87814865</v>
      </c>
      <c r="Q19" s="3">
        <v>6.9760516189999997</v>
      </c>
    </row>
    <row r="20" spans="1:17">
      <c r="A20" t="s">
        <v>28</v>
      </c>
      <c r="B20" t="s">
        <v>16</v>
      </c>
      <c r="C20" s="3">
        <v>19.51819617</v>
      </c>
      <c r="D20" s="3">
        <v>5.5010833239999997</v>
      </c>
      <c r="E20" s="3">
        <v>0.61327163900000004</v>
      </c>
      <c r="F20" s="3">
        <v>2.7946090849999998</v>
      </c>
      <c r="G20" s="3">
        <v>22.639638649999998</v>
      </c>
      <c r="H20" s="3">
        <v>4.8621056879999998</v>
      </c>
      <c r="I20" s="3">
        <v>1.4211743969999999</v>
      </c>
      <c r="J20" s="3">
        <v>4.8657779740000002</v>
      </c>
      <c r="K20" s="3">
        <v>1.013550733</v>
      </c>
      <c r="L20" s="3">
        <v>31.445778709999999</v>
      </c>
      <c r="M20" s="3">
        <f t="shared" si="1"/>
        <v>22.312805255000001</v>
      </c>
      <c r="N20" s="3">
        <f>D20+G20+K20+E20</f>
        <v>29.767544345999998</v>
      </c>
      <c r="O20" s="3">
        <f>J20+I20+H20+L20</f>
        <v>42.594836768999997</v>
      </c>
      <c r="P20" s="3">
        <v>37.409569980000001</v>
      </c>
      <c r="Q20" s="3">
        <v>6.2832800850000003</v>
      </c>
    </row>
    <row r="21" spans="1:17">
      <c r="A21" t="s">
        <v>29</v>
      </c>
      <c r="B21" t="s">
        <v>16</v>
      </c>
      <c r="C21" s="3">
        <v>19.51819617</v>
      </c>
      <c r="D21" s="3">
        <v>5.5010833239999997</v>
      </c>
      <c r="E21" s="3">
        <v>0.61327163900000004</v>
      </c>
      <c r="F21" s="3">
        <v>2.7946090849999998</v>
      </c>
      <c r="G21" s="3">
        <v>22.639638649999998</v>
      </c>
      <c r="H21" s="3">
        <v>4.8621056879999998</v>
      </c>
      <c r="I21" s="3">
        <v>1.4211743969999999</v>
      </c>
      <c r="J21" s="3">
        <v>4.8657779740000002</v>
      </c>
      <c r="K21" s="3">
        <v>1.013550733</v>
      </c>
      <c r="L21" s="3">
        <v>31.445778709999999</v>
      </c>
      <c r="M21" s="3">
        <f t="shared" si="1"/>
        <v>22.312805255000001</v>
      </c>
      <c r="N21" s="3">
        <f>D21+G21+K21+E21</f>
        <v>29.767544345999998</v>
      </c>
      <c r="O21" s="3">
        <f>J21+I21+H21+L21</f>
        <v>42.594836768999997</v>
      </c>
      <c r="P21" s="3">
        <v>37.409569980000001</v>
      </c>
      <c r="Q21" s="3">
        <v>6.2832800850000003</v>
      </c>
    </row>
    <row r="22" spans="1:17">
      <c r="A22" t="s">
        <v>30</v>
      </c>
      <c r="B22" t="s">
        <v>16</v>
      </c>
      <c r="C22" s="3">
        <v>19.51819617</v>
      </c>
      <c r="D22" s="3">
        <v>5.5010833239999997</v>
      </c>
      <c r="E22" s="3">
        <v>0.61327163900000004</v>
      </c>
      <c r="F22" s="3">
        <v>2.7946090849999998</v>
      </c>
      <c r="G22" s="3">
        <v>22.639638649999998</v>
      </c>
      <c r="H22" s="3">
        <v>4.8621056879999998</v>
      </c>
      <c r="I22" s="3">
        <v>1.4211743969999999</v>
      </c>
      <c r="J22" s="3">
        <v>4.8657779740000002</v>
      </c>
      <c r="K22" s="3">
        <v>1.013550733</v>
      </c>
      <c r="L22" s="3">
        <v>31.445778709999999</v>
      </c>
      <c r="M22" s="3">
        <f t="shared" si="1"/>
        <v>22.312805255000001</v>
      </c>
      <c r="N22" s="3">
        <f>D22+G22+K22+E22</f>
        <v>29.767544345999998</v>
      </c>
      <c r="O22" s="3">
        <f>J22+I22+H22+L22</f>
        <v>42.594836768999997</v>
      </c>
      <c r="P22" s="3">
        <v>37.409569980000001</v>
      </c>
      <c r="Q22" s="3">
        <v>6.2832800850000003</v>
      </c>
    </row>
    <row r="23" spans="1:17">
      <c r="A23" t="s">
        <v>31</v>
      </c>
      <c r="B23" t="s">
        <v>16</v>
      </c>
      <c r="C23" s="3">
        <v>18.4821779</v>
      </c>
      <c r="D23" s="3">
        <v>9.0359296390000008</v>
      </c>
      <c r="E23" s="3">
        <v>0.22478324499999999</v>
      </c>
      <c r="F23" s="3">
        <v>3.378884647</v>
      </c>
      <c r="G23" s="3">
        <v>10.06172619</v>
      </c>
      <c r="H23" s="3">
        <v>1.0275805469999999</v>
      </c>
      <c r="I23" s="3">
        <v>1.4539551150000001</v>
      </c>
      <c r="J23" s="3">
        <v>24.378278089999998</v>
      </c>
      <c r="K23" s="3">
        <v>1.0650444210000001</v>
      </c>
      <c r="L23" s="3">
        <v>26.057016449999999</v>
      </c>
      <c r="M23" s="3">
        <f t="shared" si="1"/>
        <v>21.861062547</v>
      </c>
      <c r="N23" s="3">
        <f>D23+G23+K23+E23</f>
        <v>20.387483495000001</v>
      </c>
      <c r="O23" s="3">
        <f t="shared" ref="O23:O86" si="2">J23+I23+H23+L23</f>
        <v>52.916830202</v>
      </c>
      <c r="P23" s="3">
        <v>50.817069250000003</v>
      </c>
      <c r="Q23" s="3">
        <v>2.8329824810000002</v>
      </c>
    </row>
    <row r="24" spans="1:17">
      <c r="A24" t="s">
        <v>32</v>
      </c>
      <c r="B24" t="s">
        <v>16</v>
      </c>
      <c r="C24" s="3">
        <v>18.4821779</v>
      </c>
      <c r="D24" s="3">
        <v>9.0359296390000008</v>
      </c>
      <c r="E24" s="3">
        <v>0.22478324499999999</v>
      </c>
      <c r="F24" s="3">
        <v>3.378884647</v>
      </c>
      <c r="G24" s="3">
        <v>10.06172619</v>
      </c>
      <c r="H24" s="3">
        <v>1.0275805469999999</v>
      </c>
      <c r="I24" s="3">
        <v>1.4539551150000001</v>
      </c>
      <c r="J24" s="3">
        <v>24.378278089999998</v>
      </c>
      <c r="K24" s="3">
        <v>1.0650444210000001</v>
      </c>
      <c r="L24" s="3">
        <v>26.057016449999999</v>
      </c>
      <c r="M24" s="3">
        <f t="shared" si="1"/>
        <v>21.861062547</v>
      </c>
      <c r="N24" s="3">
        <f>D24+G24+K24+E24</f>
        <v>20.387483495000001</v>
      </c>
      <c r="O24" s="3">
        <f t="shared" si="2"/>
        <v>52.916830202</v>
      </c>
      <c r="P24" s="3">
        <v>50.817069250000003</v>
      </c>
      <c r="Q24" s="3">
        <v>2.8329824810000002</v>
      </c>
    </row>
    <row r="25" spans="1:17">
      <c r="A25" t="s">
        <v>33</v>
      </c>
      <c r="B25" t="s">
        <v>16</v>
      </c>
      <c r="C25" s="3">
        <v>18.4821779</v>
      </c>
      <c r="D25" s="3">
        <v>9.0359296390000008</v>
      </c>
      <c r="E25" s="3">
        <v>0.22478324499999999</v>
      </c>
      <c r="F25" s="3">
        <v>3.378884647</v>
      </c>
      <c r="G25" s="3">
        <v>10.06172619</v>
      </c>
      <c r="H25" s="3">
        <v>1.0275805469999999</v>
      </c>
      <c r="I25" s="3">
        <v>1.4539551150000001</v>
      </c>
      <c r="J25" s="3">
        <v>24.378278089999998</v>
      </c>
      <c r="K25" s="3">
        <v>1.0650444210000001</v>
      </c>
      <c r="L25" s="3">
        <v>26.057016449999999</v>
      </c>
      <c r="M25" s="3">
        <f t="shared" si="1"/>
        <v>21.861062547</v>
      </c>
      <c r="N25" s="3">
        <f>D25+G25+K25+E25</f>
        <v>20.387483495000001</v>
      </c>
      <c r="O25" s="3">
        <f t="shared" si="2"/>
        <v>52.916830202</v>
      </c>
      <c r="P25" s="3">
        <v>50.817069250000003</v>
      </c>
      <c r="Q25" s="3">
        <v>2.8329824810000002</v>
      </c>
    </row>
    <row r="26" spans="1:17">
      <c r="A26" t="s">
        <v>34</v>
      </c>
      <c r="B26" t="s">
        <v>16</v>
      </c>
      <c r="C26" s="3">
        <v>16.681416429999999</v>
      </c>
      <c r="D26" s="3">
        <v>5.5505475960000004</v>
      </c>
      <c r="E26" s="3">
        <v>0.401883987</v>
      </c>
      <c r="F26" s="3">
        <v>4.0320103850000004</v>
      </c>
      <c r="G26" s="3">
        <v>28.13182252</v>
      </c>
      <c r="H26" s="3">
        <v>5.0991573089999997</v>
      </c>
      <c r="I26" s="3">
        <v>1.202954758</v>
      </c>
      <c r="J26" s="3">
        <v>4.1796819779999996</v>
      </c>
      <c r="K26" s="3">
        <v>1.168644419</v>
      </c>
      <c r="L26" s="3">
        <v>27.816789140000001</v>
      </c>
      <c r="M26" s="3">
        <f t="shared" si="1"/>
        <v>20.713426814999998</v>
      </c>
      <c r="N26" s="3">
        <f>D26+G26+K26+E26</f>
        <v>35.252898522000002</v>
      </c>
      <c r="O26" s="3">
        <f t="shared" si="2"/>
        <v>38.298583184999998</v>
      </c>
      <c r="P26" s="3">
        <v>32.825325460000002</v>
      </c>
      <c r="Q26" s="3">
        <v>6.5593877120000004</v>
      </c>
    </row>
    <row r="27" spans="1:17">
      <c r="A27" t="s">
        <v>35</v>
      </c>
      <c r="B27" t="s">
        <v>16</v>
      </c>
      <c r="C27" s="3">
        <v>16.681416429999999</v>
      </c>
      <c r="D27" s="3">
        <v>5.5505475960000004</v>
      </c>
      <c r="E27" s="3">
        <v>0.401883987</v>
      </c>
      <c r="F27" s="3">
        <v>4.0320103850000004</v>
      </c>
      <c r="G27" s="3">
        <v>28.13182252</v>
      </c>
      <c r="H27" s="3">
        <v>5.0991573089999997</v>
      </c>
      <c r="I27" s="3">
        <v>1.202954758</v>
      </c>
      <c r="J27" s="3">
        <v>4.1796819779999996</v>
      </c>
      <c r="K27" s="3">
        <v>1.168644419</v>
      </c>
      <c r="L27" s="3">
        <v>27.816789140000001</v>
      </c>
      <c r="M27" s="3">
        <f t="shared" si="1"/>
        <v>20.713426814999998</v>
      </c>
      <c r="N27" s="3">
        <f>D27+G27+K27+E27</f>
        <v>35.252898522000002</v>
      </c>
      <c r="O27" s="3">
        <f t="shared" si="2"/>
        <v>38.298583184999998</v>
      </c>
      <c r="P27" s="3">
        <v>32.825325460000002</v>
      </c>
      <c r="Q27" s="3">
        <v>6.5593877120000004</v>
      </c>
    </row>
    <row r="28" spans="1:17">
      <c r="A28" t="s">
        <v>36</v>
      </c>
      <c r="B28" t="s">
        <v>16</v>
      </c>
      <c r="C28" s="3">
        <v>16.681416429999999</v>
      </c>
      <c r="D28" s="3">
        <v>5.5505475960000004</v>
      </c>
      <c r="E28" s="3">
        <v>0.401883987</v>
      </c>
      <c r="F28" s="3">
        <v>4.0320103850000004</v>
      </c>
      <c r="G28" s="3">
        <v>28.13182252</v>
      </c>
      <c r="H28" s="3">
        <v>5.0991573089999997</v>
      </c>
      <c r="I28" s="3">
        <v>1.202954758</v>
      </c>
      <c r="J28" s="3">
        <v>4.1796819779999996</v>
      </c>
      <c r="K28" s="3">
        <v>1.168644419</v>
      </c>
      <c r="L28" s="3">
        <v>27.816789140000001</v>
      </c>
      <c r="M28" s="3">
        <f t="shared" si="1"/>
        <v>20.713426814999998</v>
      </c>
      <c r="N28" s="3">
        <f>D28+G28+K28+E28</f>
        <v>35.252898522000002</v>
      </c>
      <c r="O28" s="3">
        <f t="shared" si="2"/>
        <v>38.298583184999998</v>
      </c>
      <c r="P28" s="3">
        <v>32.825325460000002</v>
      </c>
      <c r="Q28" s="3">
        <v>6.5593877120000004</v>
      </c>
    </row>
    <row r="29" spans="1:17">
      <c r="A29" t="s">
        <v>37</v>
      </c>
      <c r="B29" t="s">
        <v>9</v>
      </c>
      <c r="C29" s="3">
        <v>14.064739980000001</v>
      </c>
      <c r="D29" s="3">
        <v>8.4568488990000006</v>
      </c>
      <c r="E29" s="3">
        <v>0.39083954500000001</v>
      </c>
      <c r="F29" s="3">
        <v>2.5412685989999999</v>
      </c>
      <c r="G29" s="3">
        <v>15.280117150000001</v>
      </c>
      <c r="H29" s="3">
        <v>1.825488746</v>
      </c>
      <c r="I29" s="3">
        <v>1.1739722340000001</v>
      </c>
      <c r="J29" s="3">
        <v>12.112597490000001</v>
      </c>
      <c r="K29" s="3">
        <v>1.684103924</v>
      </c>
      <c r="L29" s="3">
        <v>38.194207939999998</v>
      </c>
      <c r="M29" s="3">
        <f t="shared" si="1"/>
        <v>16.606008579000001</v>
      </c>
      <c r="N29" s="3">
        <f>D29+G29+K29+E29</f>
        <v>25.811909518</v>
      </c>
      <c r="O29" s="3">
        <f t="shared" si="2"/>
        <v>53.306266409999999</v>
      </c>
      <c r="P29" s="3">
        <v>50.855024550000003</v>
      </c>
      <c r="Q29" s="3">
        <v>3.3283878100000002</v>
      </c>
    </row>
    <row r="30" spans="1:17">
      <c r="A30" t="s">
        <v>38</v>
      </c>
      <c r="B30" t="s">
        <v>9</v>
      </c>
      <c r="C30" s="3">
        <v>14.064739980000001</v>
      </c>
      <c r="D30" s="3">
        <v>8.4568488990000006</v>
      </c>
      <c r="E30" s="3">
        <v>0.39083954500000001</v>
      </c>
      <c r="F30" s="3">
        <v>2.5412685989999999</v>
      </c>
      <c r="G30" s="3">
        <v>15.280117150000001</v>
      </c>
      <c r="H30" s="3">
        <v>1.825488746</v>
      </c>
      <c r="I30" s="3">
        <v>1.1739722340000001</v>
      </c>
      <c r="J30" s="3">
        <v>12.112597490000001</v>
      </c>
      <c r="K30" s="3">
        <v>1.684103924</v>
      </c>
      <c r="L30" s="3">
        <v>38.194207939999998</v>
      </c>
      <c r="M30" s="3">
        <f t="shared" si="1"/>
        <v>16.606008579000001</v>
      </c>
      <c r="N30" s="3">
        <f>D30+G30+K30+E30</f>
        <v>25.811909518</v>
      </c>
      <c r="O30" s="3">
        <f t="shared" si="2"/>
        <v>53.306266409999999</v>
      </c>
      <c r="P30" s="3">
        <v>50.855024550000003</v>
      </c>
      <c r="Q30" s="3">
        <v>3.3283878100000002</v>
      </c>
    </row>
    <row r="31" spans="1:17">
      <c r="A31" t="s">
        <v>39</v>
      </c>
      <c r="B31" t="s">
        <v>9</v>
      </c>
      <c r="C31" s="3">
        <v>14.064739980000001</v>
      </c>
      <c r="D31" s="3">
        <v>8.4568488990000006</v>
      </c>
      <c r="E31" s="3">
        <v>0.39083954500000001</v>
      </c>
      <c r="F31" s="3">
        <v>2.5412685989999999</v>
      </c>
      <c r="G31" s="3">
        <v>15.280117150000001</v>
      </c>
      <c r="H31" s="3">
        <v>1.825488746</v>
      </c>
      <c r="I31" s="3">
        <v>1.1739722340000001</v>
      </c>
      <c r="J31" s="3">
        <v>12.112597490000001</v>
      </c>
      <c r="K31" s="3">
        <v>1.684103924</v>
      </c>
      <c r="L31" s="3">
        <v>38.194207939999998</v>
      </c>
      <c r="M31" s="3">
        <f t="shared" si="1"/>
        <v>16.606008579000001</v>
      </c>
      <c r="N31" s="3">
        <f>D31+G31+K31+E31</f>
        <v>25.811909518</v>
      </c>
      <c r="O31" s="3">
        <f t="shared" si="2"/>
        <v>53.306266409999999</v>
      </c>
      <c r="P31" s="3">
        <v>50.855024550000003</v>
      </c>
      <c r="Q31" s="3">
        <v>3.3283878100000002</v>
      </c>
    </row>
    <row r="32" spans="1:17">
      <c r="A32" t="s">
        <v>40</v>
      </c>
      <c r="B32" t="s">
        <v>9</v>
      </c>
      <c r="C32" s="3">
        <v>16.862807279999998</v>
      </c>
      <c r="D32" s="3">
        <v>5.8408362220000001</v>
      </c>
      <c r="E32" s="3">
        <v>0.43349033300000001</v>
      </c>
      <c r="F32" s="3">
        <v>3.5515098439999999</v>
      </c>
      <c r="G32" s="3">
        <v>17.968793040000001</v>
      </c>
      <c r="H32" s="3">
        <v>0.83238648299999995</v>
      </c>
      <c r="I32" s="3">
        <v>1.066107755</v>
      </c>
      <c r="J32" s="3">
        <v>10.30941541</v>
      </c>
      <c r="K32" s="3">
        <v>1.8180126940000001</v>
      </c>
      <c r="L32" s="3">
        <v>37.714630100000001</v>
      </c>
      <c r="M32" s="3">
        <f t="shared" si="1"/>
        <v>20.414317124</v>
      </c>
      <c r="N32" s="3">
        <f>D32+G32+K32+E32</f>
        <v>26.061132289000003</v>
      </c>
      <c r="O32" s="3">
        <f t="shared" si="2"/>
        <v>49.922539748000005</v>
      </c>
      <c r="P32" s="3">
        <v>48.481939079999997</v>
      </c>
      <c r="Q32" s="3">
        <v>2.783278927</v>
      </c>
    </row>
    <row r="33" spans="1:17">
      <c r="A33" t="s">
        <v>41</v>
      </c>
      <c r="B33" t="s">
        <v>9</v>
      </c>
      <c r="C33" s="3">
        <v>16.862807279999998</v>
      </c>
      <c r="D33" s="3">
        <v>5.8408362220000001</v>
      </c>
      <c r="E33" s="3">
        <v>0.43349033300000001</v>
      </c>
      <c r="F33" s="3">
        <v>3.5515098439999999</v>
      </c>
      <c r="G33" s="3">
        <v>17.968793040000001</v>
      </c>
      <c r="H33" s="3">
        <v>0.83238648299999995</v>
      </c>
      <c r="I33" s="3">
        <v>1.066107755</v>
      </c>
      <c r="J33" s="3">
        <v>10.30941541</v>
      </c>
      <c r="K33" s="3">
        <v>1.8180126940000001</v>
      </c>
      <c r="L33" s="3">
        <v>37.714630100000001</v>
      </c>
      <c r="M33" s="3">
        <f t="shared" si="1"/>
        <v>20.414317124</v>
      </c>
      <c r="N33" s="3">
        <f>D33+G33+K33+E33</f>
        <v>26.061132289000003</v>
      </c>
      <c r="O33" s="3">
        <f t="shared" si="2"/>
        <v>49.922539748000005</v>
      </c>
      <c r="P33" s="3">
        <v>48.481939079999997</v>
      </c>
      <c r="Q33" s="3">
        <v>2.783278927</v>
      </c>
    </row>
    <row r="34" spans="1:17">
      <c r="A34" t="s">
        <v>42</v>
      </c>
      <c r="B34" t="s">
        <v>9</v>
      </c>
      <c r="C34" s="3">
        <v>16.862807279999998</v>
      </c>
      <c r="D34" s="3">
        <v>5.8408362220000001</v>
      </c>
      <c r="E34" s="3">
        <v>0.43349033300000001</v>
      </c>
      <c r="F34" s="3">
        <v>3.5515098439999999</v>
      </c>
      <c r="G34" s="3">
        <v>17.968793040000001</v>
      </c>
      <c r="H34" s="3">
        <v>0.83238648299999995</v>
      </c>
      <c r="I34" s="3">
        <v>1.066107755</v>
      </c>
      <c r="J34" s="3">
        <v>10.30941541</v>
      </c>
      <c r="K34" s="3">
        <v>1.8180126940000001</v>
      </c>
      <c r="L34" s="3">
        <v>37.714630100000001</v>
      </c>
      <c r="M34" s="3">
        <f t="shared" si="1"/>
        <v>20.414317124</v>
      </c>
      <c r="N34" s="3">
        <f>D34+G34+K34+E34</f>
        <v>26.061132289000003</v>
      </c>
      <c r="O34" s="3">
        <f t="shared" si="2"/>
        <v>49.922539748000005</v>
      </c>
      <c r="P34" s="3">
        <v>48.481939079999997</v>
      </c>
      <c r="Q34" s="3">
        <v>2.783278927</v>
      </c>
    </row>
    <row r="35" spans="1:17">
      <c r="A35" t="s">
        <v>43</v>
      </c>
      <c r="B35" t="s">
        <v>9</v>
      </c>
      <c r="C35" s="3">
        <v>12.59670481</v>
      </c>
      <c r="D35" s="3">
        <v>4.3308742440000003</v>
      </c>
      <c r="E35" s="3">
        <v>0.39670516300000003</v>
      </c>
      <c r="F35" s="3">
        <v>2.9016385360000001</v>
      </c>
      <c r="G35" s="3">
        <v>22.203106720000001</v>
      </c>
      <c r="H35" s="3">
        <v>1.888192351</v>
      </c>
      <c r="I35" s="3">
        <v>1.2292632050000001</v>
      </c>
      <c r="J35" s="3">
        <v>6.6069919519999996</v>
      </c>
      <c r="K35" s="3">
        <v>1.7614320299999999</v>
      </c>
      <c r="L35" s="3">
        <v>42.360345959999997</v>
      </c>
      <c r="M35" s="3">
        <f t="shared" si="1"/>
        <v>15.498343346</v>
      </c>
      <c r="N35" s="3">
        <f>D35+G35+K35+E35</f>
        <v>28.692118157000003</v>
      </c>
      <c r="O35" s="3">
        <f t="shared" si="2"/>
        <v>52.084793468000001</v>
      </c>
      <c r="P35" s="3">
        <v>49.502812589999998</v>
      </c>
      <c r="Q35" s="3">
        <v>3.7378287600000002</v>
      </c>
    </row>
    <row r="36" spans="1:17">
      <c r="A36" t="s">
        <v>44</v>
      </c>
      <c r="B36" t="s">
        <v>9</v>
      </c>
      <c r="C36" s="3">
        <v>12.59670481</v>
      </c>
      <c r="D36" s="3">
        <v>4.3308742440000003</v>
      </c>
      <c r="E36" s="3">
        <v>0.39670516300000003</v>
      </c>
      <c r="F36" s="3">
        <v>2.9016385360000001</v>
      </c>
      <c r="G36" s="3">
        <v>22.203106720000001</v>
      </c>
      <c r="H36" s="3">
        <v>1.888192351</v>
      </c>
      <c r="I36" s="3">
        <v>1.2292632050000001</v>
      </c>
      <c r="J36" s="3">
        <v>6.6069919519999996</v>
      </c>
      <c r="K36" s="3">
        <v>1.7614320299999999</v>
      </c>
      <c r="L36" s="3">
        <v>42.360345959999997</v>
      </c>
      <c r="M36" s="3">
        <f t="shared" si="1"/>
        <v>15.498343346</v>
      </c>
      <c r="N36" s="3">
        <f>D36+G36+K36+E36</f>
        <v>28.692118157000003</v>
      </c>
      <c r="O36" s="3">
        <f t="shared" si="2"/>
        <v>52.084793468000001</v>
      </c>
      <c r="P36" s="3">
        <v>49.502812589999998</v>
      </c>
      <c r="Q36" s="3">
        <v>3.7378287600000002</v>
      </c>
    </row>
    <row r="37" spans="1:17">
      <c r="A37" t="s">
        <v>45</v>
      </c>
      <c r="B37" t="s">
        <v>9</v>
      </c>
      <c r="C37" s="3">
        <v>12.59670481</v>
      </c>
      <c r="D37" s="3">
        <v>4.3308742440000003</v>
      </c>
      <c r="E37" s="3">
        <v>0.39670516300000003</v>
      </c>
      <c r="F37" s="3">
        <v>2.9016385360000001</v>
      </c>
      <c r="G37" s="3">
        <v>22.203106720000001</v>
      </c>
      <c r="H37" s="3">
        <v>1.888192351</v>
      </c>
      <c r="I37" s="3">
        <v>1.2292632050000001</v>
      </c>
      <c r="J37" s="3">
        <v>6.6069919519999996</v>
      </c>
      <c r="K37" s="3">
        <v>1.7614320299999999</v>
      </c>
      <c r="L37" s="3">
        <v>42.360345959999997</v>
      </c>
      <c r="M37" s="3">
        <f t="shared" si="1"/>
        <v>15.498343346</v>
      </c>
      <c r="N37" s="3">
        <f>D37+G37+K37+E37</f>
        <v>28.692118157000003</v>
      </c>
      <c r="O37" s="3">
        <f t="shared" si="2"/>
        <v>52.084793468000001</v>
      </c>
      <c r="P37" s="3">
        <v>49.502812589999998</v>
      </c>
      <c r="Q37" s="3">
        <v>3.7378287600000002</v>
      </c>
    </row>
    <row r="38" spans="1:17">
      <c r="A38" t="s">
        <v>46</v>
      </c>
      <c r="B38" t="s">
        <v>47</v>
      </c>
      <c r="C38" s="3">
        <v>10.744043</v>
      </c>
      <c r="D38" s="3">
        <v>9.6594948869999993</v>
      </c>
      <c r="E38" s="3">
        <v>0.53463560399999999</v>
      </c>
      <c r="F38" s="3">
        <v>4.6228138999999997</v>
      </c>
      <c r="G38" s="3">
        <v>15.287463170000001</v>
      </c>
      <c r="H38" s="3">
        <v>1.4727875100000001</v>
      </c>
      <c r="I38" s="3">
        <v>1.5619231689999999</v>
      </c>
      <c r="J38" s="3">
        <v>21.717441579999999</v>
      </c>
      <c r="K38" s="3">
        <v>1.251821928</v>
      </c>
      <c r="L38" s="3">
        <v>28.762707389999999</v>
      </c>
      <c r="M38" s="3">
        <f t="shared" si="1"/>
        <v>15.366856899999998</v>
      </c>
      <c r="N38" s="3">
        <f>D38+G38+K38+E38</f>
        <v>26.733415589000003</v>
      </c>
      <c r="O38" s="3">
        <f t="shared" si="2"/>
        <v>53.514859649000002</v>
      </c>
      <c r="P38" s="3">
        <v>50.943328280000003</v>
      </c>
      <c r="Q38" s="3">
        <v>3.3798256480000002</v>
      </c>
    </row>
    <row r="39" spans="1:17">
      <c r="A39" t="s">
        <v>48</v>
      </c>
      <c r="B39" t="s">
        <v>47</v>
      </c>
      <c r="C39" s="3">
        <v>10.744043</v>
      </c>
      <c r="D39" s="3">
        <v>9.6594948869999993</v>
      </c>
      <c r="E39" s="3">
        <v>0.53463560399999999</v>
      </c>
      <c r="F39" s="3">
        <v>4.6228138999999997</v>
      </c>
      <c r="G39" s="3">
        <v>15.287463170000001</v>
      </c>
      <c r="H39" s="3">
        <v>1.4727875100000001</v>
      </c>
      <c r="I39" s="3">
        <v>1.5619231689999999</v>
      </c>
      <c r="J39" s="3">
        <v>21.717441579999999</v>
      </c>
      <c r="K39" s="3">
        <v>1.251821928</v>
      </c>
      <c r="L39" s="3">
        <v>28.762707389999999</v>
      </c>
      <c r="M39" s="3">
        <f t="shared" si="1"/>
        <v>15.366856899999998</v>
      </c>
      <c r="N39" s="3">
        <f>D39+G39+K39+E39</f>
        <v>26.733415589000003</v>
      </c>
      <c r="O39" s="3">
        <f t="shared" si="2"/>
        <v>53.514859649000002</v>
      </c>
      <c r="P39" s="3">
        <v>50.943328280000003</v>
      </c>
      <c r="Q39" s="3">
        <v>3.3798256480000002</v>
      </c>
    </row>
    <row r="40" spans="1:17">
      <c r="A40" t="s">
        <v>49</v>
      </c>
      <c r="B40" t="s">
        <v>47</v>
      </c>
      <c r="C40" s="3">
        <v>10.744043</v>
      </c>
      <c r="D40" s="3">
        <v>9.6594948869999993</v>
      </c>
      <c r="E40" s="3">
        <v>0.53463560399999999</v>
      </c>
      <c r="F40" s="3">
        <v>4.6228138999999997</v>
      </c>
      <c r="G40" s="3">
        <v>15.287463170000001</v>
      </c>
      <c r="H40" s="3">
        <v>1.4727875100000001</v>
      </c>
      <c r="I40" s="3">
        <v>1.5619231689999999</v>
      </c>
      <c r="J40" s="3">
        <v>21.717441579999999</v>
      </c>
      <c r="K40" s="3">
        <v>1.251821928</v>
      </c>
      <c r="L40" s="3">
        <v>28.762707389999999</v>
      </c>
      <c r="M40" s="3">
        <f t="shared" si="1"/>
        <v>15.366856899999998</v>
      </c>
      <c r="N40" s="3">
        <f>D40+G40+K40+E40</f>
        <v>26.733415589000003</v>
      </c>
      <c r="O40" s="3">
        <f t="shared" si="2"/>
        <v>53.514859649000002</v>
      </c>
      <c r="P40" s="3">
        <v>50.943328280000003</v>
      </c>
      <c r="Q40" s="3">
        <v>3.3798256480000002</v>
      </c>
    </row>
    <row r="41" spans="1:17">
      <c r="A41" t="s">
        <v>50</v>
      </c>
      <c r="B41" t="s">
        <v>47</v>
      </c>
      <c r="C41" s="3">
        <v>16.888264580000001</v>
      </c>
      <c r="D41" s="3">
        <v>8.4985069650000007</v>
      </c>
      <c r="E41" s="3">
        <v>0.39439196799999998</v>
      </c>
      <c r="F41" s="3">
        <v>3.1770070659999998</v>
      </c>
      <c r="G41" s="3">
        <v>18.8218411</v>
      </c>
      <c r="H41" s="3">
        <v>2.5237469049999999</v>
      </c>
      <c r="I41" s="3">
        <v>1.654921716</v>
      </c>
      <c r="J41" s="3">
        <v>13.54246828</v>
      </c>
      <c r="K41" s="3">
        <v>1.153309216</v>
      </c>
      <c r="L41" s="3">
        <v>28.296554220000001</v>
      </c>
      <c r="M41" s="3">
        <f t="shared" si="1"/>
        <v>20.065271645999999</v>
      </c>
      <c r="N41" s="3">
        <f>D41+G41+K41+E41</f>
        <v>28.868049249000002</v>
      </c>
      <c r="O41" s="3">
        <f t="shared" si="2"/>
        <v>46.017691120999999</v>
      </c>
      <c r="P41" s="3">
        <v>42.398200940000002</v>
      </c>
      <c r="Q41" s="3">
        <v>4.7341392239999998</v>
      </c>
    </row>
    <row r="42" spans="1:17">
      <c r="A42" t="s">
        <v>51</v>
      </c>
      <c r="B42" t="s">
        <v>47</v>
      </c>
      <c r="C42" s="3">
        <v>16.888264580000001</v>
      </c>
      <c r="D42" s="3">
        <v>8.4985069650000007</v>
      </c>
      <c r="E42" s="3">
        <v>0.39439196799999998</v>
      </c>
      <c r="F42" s="3">
        <v>3.1770070659999998</v>
      </c>
      <c r="G42" s="3">
        <v>18.8218411</v>
      </c>
      <c r="H42" s="3">
        <v>2.5237469049999999</v>
      </c>
      <c r="I42" s="3">
        <v>1.654921716</v>
      </c>
      <c r="J42" s="3">
        <v>13.54246828</v>
      </c>
      <c r="K42" s="3">
        <v>1.153309216</v>
      </c>
      <c r="L42" s="3">
        <v>28.296554220000001</v>
      </c>
      <c r="M42" s="3">
        <f t="shared" si="1"/>
        <v>20.065271645999999</v>
      </c>
      <c r="N42" s="3">
        <f>D42+G42+K42+E42</f>
        <v>28.868049249000002</v>
      </c>
      <c r="O42" s="3">
        <f t="shared" si="2"/>
        <v>46.017691120999999</v>
      </c>
      <c r="P42" s="3">
        <v>42.398200940000002</v>
      </c>
      <c r="Q42" s="3">
        <v>4.7341392239999998</v>
      </c>
    </row>
    <row r="43" spans="1:17">
      <c r="A43" t="s">
        <v>52</v>
      </c>
      <c r="B43" t="s">
        <v>47</v>
      </c>
      <c r="C43" s="3">
        <v>16.888264580000001</v>
      </c>
      <c r="D43" s="3">
        <v>8.4985069650000007</v>
      </c>
      <c r="E43" s="3">
        <v>0.39439196799999998</v>
      </c>
      <c r="F43" s="3">
        <v>3.1770070659999998</v>
      </c>
      <c r="G43" s="3">
        <v>18.8218411</v>
      </c>
      <c r="H43" s="3">
        <v>2.5237469049999999</v>
      </c>
      <c r="I43" s="3">
        <v>1.654921716</v>
      </c>
      <c r="J43" s="3">
        <v>13.54246828</v>
      </c>
      <c r="K43" s="3">
        <v>1.153309216</v>
      </c>
      <c r="L43" s="3">
        <v>28.296554220000001</v>
      </c>
      <c r="M43" s="3">
        <f t="shared" si="1"/>
        <v>20.065271645999999</v>
      </c>
      <c r="N43" s="3">
        <f>D43+G43+K43+E43</f>
        <v>28.868049249000002</v>
      </c>
      <c r="O43" s="3">
        <f t="shared" si="2"/>
        <v>46.017691120999999</v>
      </c>
      <c r="P43" s="3">
        <v>42.398200940000002</v>
      </c>
      <c r="Q43" s="3">
        <v>4.7341392239999998</v>
      </c>
    </row>
    <row r="44" spans="1:17">
      <c r="A44" t="s">
        <v>53</v>
      </c>
      <c r="B44" t="s">
        <v>47</v>
      </c>
      <c r="C44" s="3">
        <v>13.884466939999999</v>
      </c>
      <c r="D44" s="3">
        <v>8.7050707450000004</v>
      </c>
      <c r="E44" s="3">
        <v>0.39812212800000002</v>
      </c>
      <c r="F44" s="3">
        <v>3.1883123649999998</v>
      </c>
      <c r="G44" s="3">
        <v>13.77303822</v>
      </c>
      <c r="H44" s="3">
        <v>1.882717446</v>
      </c>
      <c r="I44" s="3">
        <v>1.8982195180000001</v>
      </c>
      <c r="J44" s="3">
        <v>22.3573108</v>
      </c>
      <c r="K44" s="3">
        <v>1.27171309</v>
      </c>
      <c r="L44" s="3">
        <v>28.456922599999999</v>
      </c>
      <c r="M44" s="3">
        <f t="shared" si="1"/>
        <v>17.072779304999997</v>
      </c>
      <c r="N44" s="3">
        <f>D44+G44+K44+E44</f>
        <v>24.147944183</v>
      </c>
      <c r="O44" s="3">
        <f t="shared" si="2"/>
        <v>54.595170363999998</v>
      </c>
      <c r="P44" s="3">
        <v>51.314250039999997</v>
      </c>
      <c r="Q44" s="3">
        <v>4.1896275449999996</v>
      </c>
    </row>
    <row r="45" spans="1:17">
      <c r="A45" t="s">
        <v>54</v>
      </c>
      <c r="B45" t="s">
        <v>47</v>
      </c>
      <c r="C45" s="3">
        <v>13.884466939999999</v>
      </c>
      <c r="D45" s="3">
        <v>8.7050707450000004</v>
      </c>
      <c r="E45" s="3">
        <v>0.39812212800000002</v>
      </c>
      <c r="F45" s="3">
        <v>3.1883123649999998</v>
      </c>
      <c r="G45" s="3">
        <v>13.77303822</v>
      </c>
      <c r="H45" s="3">
        <v>1.882717446</v>
      </c>
      <c r="I45" s="3">
        <v>1.8982195180000001</v>
      </c>
      <c r="J45" s="3">
        <v>22.3573108</v>
      </c>
      <c r="K45" s="3">
        <v>1.27171309</v>
      </c>
      <c r="L45" s="3">
        <v>28.456922599999999</v>
      </c>
      <c r="M45" s="3">
        <f t="shared" si="1"/>
        <v>17.072779304999997</v>
      </c>
      <c r="N45" s="3">
        <f>D45+G45+K45+E45</f>
        <v>24.147944183</v>
      </c>
      <c r="O45" s="3">
        <f t="shared" si="2"/>
        <v>54.595170363999998</v>
      </c>
      <c r="P45" s="3">
        <v>51.314250039999997</v>
      </c>
      <c r="Q45" s="3">
        <v>4.1896275449999996</v>
      </c>
    </row>
    <row r="46" spans="1:17">
      <c r="A46" t="s">
        <v>55</v>
      </c>
      <c r="B46" t="s">
        <v>47</v>
      </c>
      <c r="C46" s="3">
        <v>13.884466939999999</v>
      </c>
      <c r="D46" s="3">
        <v>8.7050707450000004</v>
      </c>
      <c r="E46" s="3">
        <v>0.39812212800000002</v>
      </c>
      <c r="F46" s="3">
        <v>3.1883123649999998</v>
      </c>
      <c r="G46" s="3">
        <v>13.77303822</v>
      </c>
      <c r="H46" s="3">
        <v>1.882717446</v>
      </c>
      <c r="I46" s="3">
        <v>1.8982195180000001</v>
      </c>
      <c r="J46" s="3">
        <v>22.3573108</v>
      </c>
      <c r="K46" s="3">
        <v>1.27171309</v>
      </c>
      <c r="L46" s="3">
        <v>28.456922599999999</v>
      </c>
      <c r="M46" s="3">
        <f t="shared" si="1"/>
        <v>17.072779304999997</v>
      </c>
      <c r="N46" s="3">
        <f>D46+G46+K46+E46</f>
        <v>24.147944183</v>
      </c>
      <c r="O46" s="3">
        <f t="shared" si="2"/>
        <v>54.595170363999998</v>
      </c>
      <c r="P46" s="3">
        <v>51.314250039999997</v>
      </c>
      <c r="Q46" s="3">
        <v>4.1896275449999996</v>
      </c>
    </row>
    <row r="47" spans="1:17">
      <c r="A47" t="s">
        <v>56</v>
      </c>
      <c r="B47" t="s">
        <v>47</v>
      </c>
      <c r="C47" s="3">
        <v>9.0695671929999992</v>
      </c>
      <c r="D47" s="3">
        <v>7.5955672610000002</v>
      </c>
      <c r="E47" s="3">
        <v>0.362045493</v>
      </c>
      <c r="F47" s="3">
        <v>3.5324474019999998</v>
      </c>
      <c r="G47" s="3">
        <v>19.577469579999999</v>
      </c>
      <c r="H47" s="3">
        <v>1.7057696870000001</v>
      </c>
      <c r="I47" s="3">
        <v>1.5938555720000001</v>
      </c>
      <c r="J47" s="3">
        <v>14.31589065</v>
      </c>
      <c r="K47" s="3">
        <v>1.5671861140000001</v>
      </c>
      <c r="L47" s="3">
        <v>36.509253479999998</v>
      </c>
      <c r="M47" s="3">
        <f t="shared" si="1"/>
        <v>12.602014595</v>
      </c>
      <c r="N47" s="3">
        <f>D47+G47+K47+E47</f>
        <v>29.102268448</v>
      </c>
      <c r="O47" s="3">
        <f t="shared" si="2"/>
        <v>54.124769389000001</v>
      </c>
      <c r="P47" s="3">
        <v>51.304920369999998</v>
      </c>
      <c r="Q47" s="3">
        <v>3.7866949509999999</v>
      </c>
    </row>
    <row r="48" spans="1:17">
      <c r="A48" t="s">
        <v>57</v>
      </c>
      <c r="B48" t="s">
        <v>47</v>
      </c>
      <c r="C48" s="3">
        <v>9.0695671929999992</v>
      </c>
      <c r="D48" s="3">
        <v>7.5955672610000002</v>
      </c>
      <c r="E48" s="3">
        <v>0.362045493</v>
      </c>
      <c r="F48" s="3">
        <v>3.5324474019999998</v>
      </c>
      <c r="G48" s="3">
        <v>19.577469579999999</v>
      </c>
      <c r="H48" s="3">
        <v>1.7057696870000001</v>
      </c>
      <c r="I48" s="3">
        <v>1.5938555720000001</v>
      </c>
      <c r="J48" s="3">
        <v>14.31589065</v>
      </c>
      <c r="K48" s="3">
        <v>1.5671861140000001</v>
      </c>
      <c r="L48" s="3">
        <v>36.509253479999998</v>
      </c>
      <c r="M48" s="3">
        <f t="shared" si="1"/>
        <v>12.602014595</v>
      </c>
      <c r="N48" s="3">
        <f>D48+G48+K48+E48</f>
        <v>29.102268448</v>
      </c>
      <c r="O48" s="3">
        <f t="shared" si="2"/>
        <v>54.124769389000001</v>
      </c>
      <c r="P48" s="3">
        <v>51.304920369999998</v>
      </c>
      <c r="Q48" s="3">
        <v>3.7866949509999999</v>
      </c>
    </row>
    <row r="49" spans="1:22">
      <c r="A49" t="s">
        <v>58</v>
      </c>
      <c r="B49" t="s">
        <v>47</v>
      </c>
      <c r="C49" s="3">
        <v>9.0695671929999992</v>
      </c>
      <c r="D49" s="3">
        <v>7.5955672610000002</v>
      </c>
      <c r="E49" s="3">
        <v>0.362045493</v>
      </c>
      <c r="F49" s="3">
        <v>3.5324474019999998</v>
      </c>
      <c r="G49" s="3">
        <v>19.577469579999999</v>
      </c>
      <c r="H49" s="3">
        <v>1.7057696870000001</v>
      </c>
      <c r="I49" s="3">
        <v>1.5938555720000001</v>
      </c>
      <c r="J49" s="3">
        <v>14.31589065</v>
      </c>
      <c r="K49" s="3">
        <v>1.5671861140000001</v>
      </c>
      <c r="L49" s="3">
        <v>36.509253479999998</v>
      </c>
      <c r="M49" s="3">
        <f t="shared" si="1"/>
        <v>12.602014595</v>
      </c>
      <c r="N49" s="3">
        <f>D49+G49+K49+E49</f>
        <v>29.102268448</v>
      </c>
      <c r="O49" s="3">
        <f t="shared" si="2"/>
        <v>54.124769389000001</v>
      </c>
      <c r="P49" s="3">
        <v>51.304920369999998</v>
      </c>
      <c r="Q49" s="3">
        <v>3.7866949509999999</v>
      </c>
    </row>
    <row r="50" spans="1:22">
      <c r="A50" t="s">
        <v>59</v>
      </c>
      <c r="B50" t="s">
        <v>9</v>
      </c>
      <c r="C50" s="3">
        <v>16.86631895</v>
      </c>
      <c r="D50" s="3">
        <v>6.9159183540000004</v>
      </c>
      <c r="E50" s="3">
        <v>0.37744145099999998</v>
      </c>
      <c r="F50" s="3">
        <v>2.3096611490000001</v>
      </c>
      <c r="G50" s="3">
        <v>15.43595651</v>
      </c>
      <c r="H50" s="3">
        <v>2.008494797</v>
      </c>
      <c r="I50" s="3">
        <v>1.2389474460000001</v>
      </c>
      <c r="J50" s="3">
        <v>10.83413567</v>
      </c>
      <c r="K50" s="3">
        <v>1.95851183</v>
      </c>
      <c r="L50" s="3">
        <v>39.831618169999999</v>
      </c>
      <c r="M50" s="3">
        <f t="shared" si="1"/>
        <v>19.175980099</v>
      </c>
      <c r="N50" s="3">
        <f>D50+G50+K50+E50</f>
        <v>24.687828145000001</v>
      </c>
      <c r="O50" s="3">
        <f t="shared" si="2"/>
        <v>53.913196083000003</v>
      </c>
      <c r="P50" s="3">
        <v>51.008975589999999</v>
      </c>
      <c r="Q50" s="3">
        <v>3.6625077880000001</v>
      </c>
    </row>
    <row r="51" spans="1:22">
      <c r="A51" t="s">
        <v>60</v>
      </c>
      <c r="B51" t="s">
        <v>9</v>
      </c>
      <c r="C51" s="3">
        <v>16.86631895</v>
      </c>
      <c r="D51" s="3">
        <v>6.9159183540000004</v>
      </c>
      <c r="E51" s="3">
        <v>0.37744145099999998</v>
      </c>
      <c r="F51" s="3">
        <v>2.3096611490000001</v>
      </c>
      <c r="G51" s="3">
        <v>15.43595651</v>
      </c>
      <c r="H51" s="3">
        <v>2.008494797</v>
      </c>
      <c r="I51" s="3">
        <v>1.2389474460000001</v>
      </c>
      <c r="J51" s="3">
        <v>10.83413567</v>
      </c>
      <c r="K51" s="3">
        <v>1.95851183</v>
      </c>
      <c r="L51" s="3">
        <v>39.831618169999999</v>
      </c>
      <c r="M51" s="3">
        <f t="shared" si="1"/>
        <v>19.175980099</v>
      </c>
      <c r="N51" s="3">
        <f>D51+G51+K51+E51</f>
        <v>24.687828145000001</v>
      </c>
      <c r="O51" s="3">
        <f t="shared" si="2"/>
        <v>53.913196083000003</v>
      </c>
      <c r="P51" s="3">
        <v>51.008975589999999</v>
      </c>
      <c r="Q51" s="3">
        <v>3.6625077880000001</v>
      </c>
    </row>
    <row r="52" spans="1:22">
      <c r="A52" t="s">
        <v>61</v>
      </c>
      <c r="B52" t="s">
        <v>9</v>
      </c>
      <c r="C52" s="3">
        <v>16.86631895</v>
      </c>
      <c r="D52" s="3">
        <v>6.9159183540000004</v>
      </c>
      <c r="E52" s="3">
        <v>0.37744145099999998</v>
      </c>
      <c r="F52" s="3">
        <v>2.3096611490000001</v>
      </c>
      <c r="G52" s="3">
        <v>15.43595651</v>
      </c>
      <c r="H52" s="3">
        <v>2.008494797</v>
      </c>
      <c r="I52" s="3">
        <v>1.2389474460000001</v>
      </c>
      <c r="J52" s="3">
        <v>10.83413567</v>
      </c>
      <c r="K52" s="3">
        <v>1.95851183</v>
      </c>
      <c r="L52" s="3">
        <v>39.831618169999999</v>
      </c>
      <c r="M52" s="3">
        <f t="shared" si="1"/>
        <v>19.175980099</v>
      </c>
      <c r="N52" s="3">
        <f>D52+G52+K52+E52</f>
        <v>24.687828145000001</v>
      </c>
      <c r="O52" s="3">
        <f t="shared" si="2"/>
        <v>53.913196083000003</v>
      </c>
      <c r="P52" s="3">
        <v>51.008975589999999</v>
      </c>
      <c r="Q52" s="3">
        <v>3.6625077880000001</v>
      </c>
      <c r="R52" t="s">
        <v>2</v>
      </c>
      <c r="S52" t="s">
        <v>3</v>
      </c>
      <c r="T52" t="s">
        <v>7</v>
      </c>
      <c r="U52" t="s">
        <v>5</v>
      </c>
      <c r="V52" t="s">
        <v>6</v>
      </c>
    </row>
    <row r="53" spans="1:22">
      <c r="A53" t="s">
        <v>62</v>
      </c>
      <c r="B53" t="s">
        <v>63</v>
      </c>
      <c r="C53" s="3">
        <v>9.5312272589999996</v>
      </c>
      <c r="D53" s="3">
        <v>4.7765219569999999</v>
      </c>
      <c r="E53" s="3">
        <v>4.1091435760000001</v>
      </c>
      <c r="F53" s="3">
        <v>12.14376904</v>
      </c>
      <c r="G53" s="3">
        <v>5.5007992090000002</v>
      </c>
      <c r="H53" s="3">
        <v>0.70168245399999996</v>
      </c>
      <c r="I53" s="3">
        <v>1.4960353239999999</v>
      </c>
      <c r="J53" s="3">
        <v>4.8082109830000004</v>
      </c>
      <c r="K53" s="3">
        <v>3.1240205329999999</v>
      </c>
      <c r="L53" s="3">
        <v>47.257300430000001</v>
      </c>
      <c r="M53" s="3">
        <f t="shared" si="1"/>
        <v>21.674996299</v>
      </c>
      <c r="N53" s="3">
        <f>D53+G53+K53+E53</f>
        <v>17.510485275000001</v>
      </c>
      <c r="O53" s="3">
        <f t="shared" si="2"/>
        <v>54.263229191000001</v>
      </c>
      <c r="P53" s="3">
        <v>52.06551142</v>
      </c>
      <c r="Q53" s="3">
        <v>6.9968345330000004</v>
      </c>
      <c r="R53">
        <v>18.5780000266667</v>
      </c>
      <c r="S53">
        <v>22.359654023333299</v>
      </c>
      <c r="T53">
        <v>59.062345953333299</v>
      </c>
      <c r="U53">
        <v>52.065511416666702</v>
      </c>
      <c r="V53">
        <v>6.9968345333333302</v>
      </c>
    </row>
    <row r="54" spans="1:22">
      <c r="A54" t="s">
        <v>64</v>
      </c>
      <c r="B54" t="s">
        <v>63</v>
      </c>
      <c r="C54" s="3">
        <v>9.5312272589999996</v>
      </c>
      <c r="D54" s="3">
        <v>4.7765219569999999</v>
      </c>
      <c r="E54" s="3">
        <v>4.1091435760000001</v>
      </c>
      <c r="F54" s="3">
        <v>12.14376904</v>
      </c>
      <c r="G54" s="3">
        <v>5.5007992090000002</v>
      </c>
      <c r="H54" s="3">
        <v>0.70168245399999996</v>
      </c>
      <c r="I54" s="3">
        <v>1.4960353239999999</v>
      </c>
      <c r="J54" s="3">
        <v>4.8082109830000004</v>
      </c>
      <c r="K54" s="3">
        <v>3.1240205329999999</v>
      </c>
      <c r="L54" s="3">
        <v>47.257300430000001</v>
      </c>
      <c r="M54" s="3">
        <f t="shared" si="1"/>
        <v>21.674996299</v>
      </c>
      <c r="N54" s="3">
        <f>D54+G54+K54+E54</f>
        <v>17.510485275000001</v>
      </c>
      <c r="O54" s="3">
        <f t="shared" si="2"/>
        <v>54.263229191000001</v>
      </c>
      <c r="P54" s="3">
        <v>52.06551142</v>
      </c>
      <c r="Q54" s="3">
        <v>6.9968345330000004</v>
      </c>
      <c r="R54">
        <v>23.519396409999999</v>
      </c>
      <c r="S54">
        <v>26.558391903333298</v>
      </c>
      <c r="T54">
        <v>49.922211686666699</v>
      </c>
      <c r="U54">
        <v>41.4736741166667</v>
      </c>
      <c r="V54">
        <v>8.4485375699999992</v>
      </c>
    </row>
    <row r="55" spans="1:22">
      <c r="A55" t="s">
        <v>65</v>
      </c>
      <c r="B55" t="s">
        <v>63</v>
      </c>
      <c r="C55" s="3">
        <v>9.5312272589999996</v>
      </c>
      <c r="D55" s="3">
        <v>4.7765219569999999</v>
      </c>
      <c r="E55" s="3">
        <v>4.1091435760000001</v>
      </c>
      <c r="F55" s="3">
        <v>12.14376904</v>
      </c>
      <c r="G55" s="3">
        <v>5.5007992090000002</v>
      </c>
      <c r="H55" s="3">
        <v>0.70168245399999996</v>
      </c>
      <c r="I55" s="3">
        <v>1.4960353239999999</v>
      </c>
      <c r="J55" s="3">
        <v>4.8082109830000004</v>
      </c>
      <c r="K55" s="3">
        <v>3.1240205329999999</v>
      </c>
      <c r="L55" s="3">
        <v>47.257300430000001</v>
      </c>
      <c r="M55" s="3">
        <f t="shared" si="1"/>
        <v>21.674996299</v>
      </c>
      <c r="N55" s="3">
        <f>D55+G55+K55+E55</f>
        <v>17.510485275000001</v>
      </c>
      <c r="O55" s="3">
        <f t="shared" si="2"/>
        <v>54.263229191000001</v>
      </c>
      <c r="P55" s="3">
        <v>52.06551142</v>
      </c>
      <c r="Q55" s="3">
        <v>6.9968345330000004</v>
      </c>
      <c r="R55">
        <v>21.692663266666699</v>
      </c>
      <c r="S55">
        <v>26.274284186666701</v>
      </c>
      <c r="T55">
        <v>52.033052553333299</v>
      </c>
      <c r="U55">
        <v>40.7023390833333</v>
      </c>
      <c r="V55">
        <v>11.330713469999999</v>
      </c>
    </row>
    <row r="56" spans="1:22">
      <c r="A56" t="s">
        <v>66</v>
      </c>
      <c r="B56" t="s">
        <v>63</v>
      </c>
      <c r="C56" s="3">
        <v>12.40441298</v>
      </c>
      <c r="D56" s="3">
        <v>5.4172935210000004</v>
      </c>
      <c r="E56" s="3">
        <v>4.1468156360000004</v>
      </c>
      <c r="F56" s="3">
        <v>16.36933054</v>
      </c>
      <c r="G56" s="3">
        <v>7.1828845399999999</v>
      </c>
      <c r="H56" s="3">
        <v>1.129111698</v>
      </c>
      <c r="I56" s="3">
        <v>1.26565303</v>
      </c>
      <c r="J56" s="3">
        <v>3.9011186420000001</v>
      </c>
      <c r="K56" s="3">
        <v>2.7454507449999999</v>
      </c>
      <c r="L56" s="3">
        <v>37.572555469999998</v>
      </c>
      <c r="M56" s="3">
        <f t="shared" si="1"/>
        <v>28.77374352</v>
      </c>
      <c r="N56" s="3">
        <f>D56+G56+K56+E56</f>
        <v>19.492444442</v>
      </c>
      <c r="O56" s="3">
        <f t="shared" si="2"/>
        <v>43.868438839999996</v>
      </c>
      <c r="P56" s="3">
        <v>41.473674119999998</v>
      </c>
      <c r="Q56" s="3">
        <v>8.4485375699999992</v>
      </c>
      <c r="R56">
        <v>24.7968925433333</v>
      </c>
      <c r="S56">
        <v>30.0803655833333</v>
      </c>
      <c r="T56">
        <v>45.122741873333297</v>
      </c>
      <c r="U56">
        <v>34.476368266666697</v>
      </c>
      <c r="V56">
        <v>10.646373607333301</v>
      </c>
    </row>
    <row r="57" spans="1:22">
      <c r="A57" t="s">
        <v>67</v>
      </c>
      <c r="B57" t="s">
        <v>63</v>
      </c>
      <c r="C57" s="3">
        <v>12.40441298</v>
      </c>
      <c r="D57" s="3">
        <v>5.4172935210000004</v>
      </c>
      <c r="E57" s="3">
        <v>4.1468156360000004</v>
      </c>
      <c r="F57" s="3">
        <v>16.36933054</v>
      </c>
      <c r="G57" s="3">
        <v>7.1828845399999999</v>
      </c>
      <c r="H57" s="3">
        <v>1.129111698</v>
      </c>
      <c r="I57" s="3">
        <v>1.26565303</v>
      </c>
      <c r="J57" s="3">
        <v>3.9011186420000001</v>
      </c>
      <c r="K57" s="3">
        <v>2.7454507449999999</v>
      </c>
      <c r="L57" s="3">
        <v>37.572555469999998</v>
      </c>
      <c r="M57" s="3">
        <f t="shared" si="1"/>
        <v>28.77374352</v>
      </c>
      <c r="N57" s="3">
        <f>D57+G57+K57+E57</f>
        <v>19.492444442</v>
      </c>
      <c r="O57" s="3">
        <f t="shared" si="2"/>
        <v>43.868438839999996</v>
      </c>
      <c r="P57" s="3">
        <v>41.473674119999998</v>
      </c>
      <c r="Q57" s="3">
        <v>8.4485375699999992</v>
      </c>
      <c r="R57">
        <v>20.594558173333301</v>
      </c>
      <c r="S57">
        <v>28.540322076666701</v>
      </c>
      <c r="T57">
        <v>50.865119749999998</v>
      </c>
      <c r="U57">
        <v>38.714213343333299</v>
      </c>
      <c r="V57">
        <v>12.1509064033333</v>
      </c>
    </row>
    <row r="58" spans="1:22">
      <c r="A58" t="s">
        <v>68</v>
      </c>
      <c r="B58" t="s">
        <v>63</v>
      </c>
      <c r="C58" s="3">
        <v>12.40441298</v>
      </c>
      <c r="D58" s="3">
        <v>5.4172935210000004</v>
      </c>
      <c r="E58" s="3">
        <v>4.1468156360000004</v>
      </c>
      <c r="F58" s="3">
        <v>16.36933054</v>
      </c>
      <c r="G58" s="3">
        <v>7.1828845399999999</v>
      </c>
      <c r="H58" s="3">
        <v>1.129111698</v>
      </c>
      <c r="I58" s="3">
        <v>1.26565303</v>
      </c>
      <c r="J58" s="3">
        <v>3.9011186420000001</v>
      </c>
      <c r="K58" s="3">
        <v>2.7454507449999999</v>
      </c>
      <c r="L58" s="3">
        <v>37.572555469999998</v>
      </c>
      <c r="M58" s="3">
        <f t="shared" si="1"/>
        <v>28.77374352</v>
      </c>
      <c r="N58" s="3">
        <f>D58+G58+K58+E58</f>
        <v>19.492444442</v>
      </c>
      <c r="O58" s="3">
        <f t="shared" si="2"/>
        <v>43.868438839999996</v>
      </c>
      <c r="P58" s="3">
        <v>41.473674119999998</v>
      </c>
      <c r="Q58" s="3">
        <v>8.4485375699999992</v>
      </c>
      <c r="R58">
        <v>23.454955026666699</v>
      </c>
      <c r="S58">
        <v>32.319542179999999</v>
      </c>
      <c r="T58">
        <v>44.225502796666703</v>
      </c>
      <c r="U58">
        <v>32.530772696666702</v>
      </c>
      <c r="V58">
        <v>11.6947300933333</v>
      </c>
    </row>
    <row r="59" spans="1:22">
      <c r="A59" t="s">
        <v>69</v>
      </c>
      <c r="B59" t="s">
        <v>63</v>
      </c>
      <c r="C59" s="3">
        <v>12.6961143</v>
      </c>
      <c r="D59" s="3">
        <v>5.4310855299999998</v>
      </c>
      <c r="E59" s="3">
        <v>3.8469081030000001</v>
      </c>
      <c r="F59" s="3">
        <v>17.236123660000001</v>
      </c>
      <c r="G59" s="3">
        <v>9.8342394469999999</v>
      </c>
      <c r="H59" s="3">
        <v>0.70878271800000003</v>
      </c>
      <c r="I59" s="3">
        <v>1.496474023</v>
      </c>
      <c r="J59" s="3">
        <v>3.5803992010000001</v>
      </c>
      <c r="K59" s="3">
        <v>2.4726465640000002</v>
      </c>
      <c r="L59" s="3">
        <v>37.121939879999999</v>
      </c>
      <c r="M59" s="3">
        <f t="shared" si="1"/>
        <v>29.932237960000002</v>
      </c>
      <c r="N59" s="3">
        <f>D59+G59+K59+E59</f>
        <v>21.584879644000001</v>
      </c>
      <c r="O59" s="3">
        <f t="shared" si="2"/>
        <v>42.907595821999998</v>
      </c>
      <c r="P59" s="3">
        <v>40.702339080000002</v>
      </c>
      <c r="Q59" s="3">
        <v>11.330713469999999</v>
      </c>
      <c r="R59">
        <v>19.450856416666699</v>
      </c>
      <c r="S59">
        <v>22.228636720000001</v>
      </c>
      <c r="T59">
        <v>58.3205068633333</v>
      </c>
      <c r="U59">
        <v>49.579334950000003</v>
      </c>
      <c r="V59">
        <v>8.7411719146666709</v>
      </c>
    </row>
    <row r="60" spans="1:22">
      <c r="A60" t="s">
        <v>70</v>
      </c>
      <c r="B60" t="s">
        <v>63</v>
      </c>
      <c r="C60" s="3">
        <v>12.6961143</v>
      </c>
      <c r="D60" s="3">
        <v>5.4310855299999998</v>
      </c>
      <c r="E60" s="3">
        <v>3.8469081030000001</v>
      </c>
      <c r="F60" s="3">
        <v>17.236123660000001</v>
      </c>
      <c r="G60" s="3">
        <v>9.8342394469999999</v>
      </c>
      <c r="H60" s="3">
        <v>0.70878271800000003</v>
      </c>
      <c r="I60" s="3">
        <v>1.496474023</v>
      </c>
      <c r="J60" s="3">
        <v>3.5803992010000001</v>
      </c>
      <c r="K60" s="3">
        <v>2.4726465640000002</v>
      </c>
      <c r="L60" s="3">
        <v>37.121939879999999</v>
      </c>
      <c r="M60" s="3">
        <f t="shared" si="1"/>
        <v>29.932237960000002</v>
      </c>
      <c r="N60" s="3">
        <f>D60+G60+K60+E60</f>
        <v>21.584879644000001</v>
      </c>
      <c r="O60" s="3">
        <f t="shared" si="2"/>
        <v>42.907595821999998</v>
      </c>
      <c r="P60" s="3">
        <v>40.702339080000002</v>
      </c>
      <c r="Q60" s="3">
        <v>11.330713469999999</v>
      </c>
      <c r="R60">
        <v>23.754398496666699</v>
      </c>
      <c r="S60">
        <v>29.979235110000001</v>
      </c>
      <c r="T60">
        <v>46.2663663933333</v>
      </c>
      <c r="U60">
        <v>33.537094906666702</v>
      </c>
      <c r="V60">
        <v>12.72927149</v>
      </c>
    </row>
    <row r="61" spans="1:22">
      <c r="A61" t="s">
        <v>71</v>
      </c>
      <c r="B61" t="s">
        <v>63</v>
      </c>
      <c r="C61" s="3">
        <v>12.6961143</v>
      </c>
      <c r="D61" s="3">
        <v>5.4310855299999998</v>
      </c>
      <c r="E61" s="3">
        <v>3.8469081030000001</v>
      </c>
      <c r="F61" s="3">
        <v>17.236123660000001</v>
      </c>
      <c r="G61" s="3">
        <v>9.8342394469999999</v>
      </c>
      <c r="H61" s="3">
        <v>0.70878271800000003</v>
      </c>
      <c r="I61" s="3">
        <v>1.496474023</v>
      </c>
      <c r="J61" s="3">
        <v>3.5803992010000001</v>
      </c>
      <c r="K61" s="3">
        <v>2.4726465640000002</v>
      </c>
      <c r="L61" s="3">
        <v>37.121939879999999</v>
      </c>
      <c r="M61" s="3">
        <f t="shared" si="1"/>
        <v>29.932237960000002</v>
      </c>
      <c r="N61" s="3">
        <f>D61+G61+K61+E61</f>
        <v>21.584879644000001</v>
      </c>
      <c r="O61" s="3">
        <f t="shared" si="2"/>
        <v>42.907595821999998</v>
      </c>
      <c r="P61" s="3">
        <v>40.702339080000002</v>
      </c>
      <c r="Q61" s="3">
        <v>11.330713469999999</v>
      </c>
      <c r="R61">
        <v>21.166472726666701</v>
      </c>
      <c r="S61">
        <v>29.120960513333301</v>
      </c>
      <c r="T61">
        <v>49.712566756666703</v>
      </c>
      <c r="U61">
        <v>35.503070176666697</v>
      </c>
      <c r="V61">
        <v>14.2094965766667</v>
      </c>
    </row>
    <row r="62" spans="1:22">
      <c r="A62" t="s">
        <v>72</v>
      </c>
      <c r="B62" t="s">
        <v>63</v>
      </c>
      <c r="C62" s="3">
        <v>12.018352719999999</v>
      </c>
      <c r="D62" s="3">
        <v>4.8512019999999998</v>
      </c>
      <c r="E62" s="3">
        <v>4.143339986</v>
      </c>
      <c r="F62" s="3">
        <v>20.050900639999998</v>
      </c>
      <c r="G62" s="3">
        <v>9.1816832959999992</v>
      </c>
      <c r="H62" s="3">
        <v>1.7345129960000001</v>
      </c>
      <c r="I62" s="3">
        <v>1.4646903099999999</v>
      </c>
      <c r="J62" s="3">
        <v>4.5719037660000001</v>
      </c>
      <c r="K62" s="3">
        <v>2.1130997979999999</v>
      </c>
      <c r="L62" s="3">
        <v>29.9044645</v>
      </c>
      <c r="M62" s="3">
        <f t="shared" si="1"/>
        <v>32.069253359999998</v>
      </c>
      <c r="N62" s="3">
        <f>D62+G62+K62+E62</f>
        <v>20.289325080000001</v>
      </c>
      <c r="O62" s="3">
        <f t="shared" si="2"/>
        <v>37.675571572000003</v>
      </c>
      <c r="P62" s="3">
        <v>34.476368270000002</v>
      </c>
      <c r="Q62" s="3">
        <v>10.646373609999999</v>
      </c>
      <c r="R62">
        <v>21.485468986666699</v>
      </c>
      <c r="S62">
        <v>29.6534647066667</v>
      </c>
      <c r="T62">
        <v>48.861066309999998</v>
      </c>
      <c r="U62">
        <v>35.603635019999999</v>
      </c>
      <c r="V62">
        <v>13.2574312866667</v>
      </c>
    </row>
    <row r="63" spans="1:22">
      <c r="A63" t="s">
        <v>73</v>
      </c>
      <c r="B63" t="s">
        <v>63</v>
      </c>
      <c r="C63" s="3">
        <v>12.018352719999999</v>
      </c>
      <c r="D63" s="3">
        <v>4.8512019999999998</v>
      </c>
      <c r="E63" s="3">
        <v>4.143339986</v>
      </c>
      <c r="F63" s="3">
        <v>20.050900639999998</v>
      </c>
      <c r="G63" s="3">
        <v>9.1816832959999992</v>
      </c>
      <c r="H63" s="3">
        <v>1.7345129960000001</v>
      </c>
      <c r="I63" s="3">
        <v>1.4646903099999999</v>
      </c>
      <c r="J63" s="3">
        <v>4.5719037660000001</v>
      </c>
      <c r="K63" s="3">
        <v>2.1130997979999999</v>
      </c>
      <c r="L63" s="3">
        <v>29.9044645</v>
      </c>
      <c r="M63" s="3">
        <f t="shared" si="1"/>
        <v>32.069253359999998</v>
      </c>
      <c r="N63" s="3">
        <f>D63+G63+K63+E63</f>
        <v>20.289325080000001</v>
      </c>
      <c r="O63" s="3">
        <f t="shared" si="2"/>
        <v>37.675571572000003</v>
      </c>
      <c r="P63" s="3">
        <v>34.476368270000002</v>
      </c>
      <c r="Q63" s="3">
        <v>10.646373609999999</v>
      </c>
      <c r="R63">
        <v>23.592021273333302</v>
      </c>
      <c r="S63">
        <v>32.641642243333301</v>
      </c>
      <c r="T63">
        <v>43.76633649</v>
      </c>
      <c r="U63">
        <v>34.9688645366667</v>
      </c>
      <c r="V63">
        <v>8.7974719480000001</v>
      </c>
    </row>
    <row r="64" spans="1:22">
      <c r="A64" t="s">
        <v>74</v>
      </c>
      <c r="B64" t="s">
        <v>63</v>
      </c>
      <c r="C64" s="3">
        <v>12.018352719999999</v>
      </c>
      <c r="D64" s="3">
        <v>4.8512019999999998</v>
      </c>
      <c r="E64" s="3">
        <v>4.143339986</v>
      </c>
      <c r="F64" s="3">
        <v>20.050900639999998</v>
      </c>
      <c r="G64" s="3">
        <v>9.1816832959999992</v>
      </c>
      <c r="H64" s="3">
        <v>1.7345129960000001</v>
      </c>
      <c r="I64" s="3">
        <v>1.4646903099999999</v>
      </c>
      <c r="J64" s="3">
        <v>4.5719037660000001</v>
      </c>
      <c r="K64" s="3">
        <v>2.1130997979999999</v>
      </c>
      <c r="L64" s="3">
        <v>29.9044645</v>
      </c>
      <c r="M64" s="3">
        <f t="shared" si="1"/>
        <v>32.069253359999998</v>
      </c>
      <c r="N64" s="3">
        <f>D64+G64+K64+E64</f>
        <v>20.289325080000001</v>
      </c>
      <c r="O64" s="3">
        <f t="shared" si="2"/>
        <v>37.675571572000003</v>
      </c>
      <c r="P64" s="3">
        <v>34.476368270000002</v>
      </c>
      <c r="Q64" s="3">
        <v>10.646373609999999</v>
      </c>
      <c r="R64">
        <v>24.369429806666702</v>
      </c>
      <c r="S64">
        <v>24.3644034066667</v>
      </c>
      <c r="T64">
        <v>51.266166786666702</v>
      </c>
      <c r="U64">
        <v>46.190769926666697</v>
      </c>
      <c r="V64">
        <v>5.0753968613333296</v>
      </c>
    </row>
    <row r="65" spans="1:22">
      <c r="A65" t="s">
        <v>75</v>
      </c>
      <c r="B65" t="s">
        <v>63</v>
      </c>
      <c r="C65" s="3">
        <v>11.54648561</v>
      </c>
      <c r="D65" s="3">
        <v>4.6576923030000001</v>
      </c>
      <c r="E65" s="3">
        <v>3.951142463</v>
      </c>
      <c r="F65" s="3">
        <v>19.133792849999999</v>
      </c>
      <c r="G65" s="3">
        <v>10.55148455</v>
      </c>
      <c r="H65" s="3">
        <v>0.71553978100000004</v>
      </c>
      <c r="I65" s="3">
        <v>1.599421856</v>
      </c>
      <c r="J65" s="3">
        <v>3.8996705679999999</v>
      </c>
      <c r="K65" s="3">
        <v>2.0390002570000001</v>
      </c>
      <c r="L65" s="3">
        <v>34.814542779999996</v>
      </c>
      <c r="M65" s="3">
        <f t="shared" si="1"/>
        <v>30.680278459999997</v>
      </c>
      <c r="N65" s="3">
        <f>D65+G65+K65+E65</f>
        <v>21.199319573</v>
      </c>
      <c r="O65" s="3">
        <f t="shared" si="2"/>
        <v>41.029174984999997</v>
      </c>
      <c r="P65" s="3">
        <v>38.714213340000001</v>
      </c>
      <c r="Q65" s="3">
        <v>12.1509064</v>
      </c>
      <c r="R65">
        <v>24.592580396666701</v>
      </c>
      <c r="S65">
        <v>22.264656033333299</v>
      </c>
      <c r="T65">
        <v>53.142763566666702</v>
      </c>
      <c r="U65">
        <v>48.595677743333297</v>
      </c>
      <c r="V65">
        <v>4.547085826</v>
      </c>
    </row>
    <row r="66" spans="1:22">
      <c r="A66" t="s">
        <v>76</v>
      </c>
      <c r="B66" t="s">
        <v>63</v>
      </c>
      <c r="C66" s="3">
        <v>11.54648561</v>
      </c>
      <c r="D66" s="3">
        <v>4.6576923030000001</v>
      </c>
      <c r="E66" s="3">
        <v>3.951142463</v>
      </c>
      <c r="F66" s="3">
        <v>19.133792849999999</v>
      </c>
      <c r="G66" s="3">
        <v>10.55148455</v>
      </c>
      <c r="H66" s="3">
        <v>0.71553978100000004</v>
      </c>
      <c r="I66" s="3">
        <v>1.599421856</v>
      </c>
      <c r="J66" s="3">
        <v>3.8996705679999999</v>
      </c>
      <c r="K66" s="3">
        <v>2.0390002570000001</v>
      </c>
      <c r="L66" s="3">
        <v>34.814542779999996</v>
      </c>
      <c r="M66" s="3">
        <f t="shared" si="1"/>
        <v>30.680278459999997</v>
      </c>
      <c r="N66" s="3">
        <f>D66+G66+K66+E66</f>
        <v>21.199319573</v>
      </c>
      <c r="O66" s="3">
        <f t="shared" si="2"/>
        <v>41.029174984999997</v>
      </c>
      <c r="P66" s="3">
        <v>38.714213340000001</v>
      </c>
      <c r="Q66" s="3">
        <v>12.1509064</v>
      </c>
      <c r="R66">
        <v>21.978550779999999</v>
      </c>
      <c r="S66">
        <v>21.111329569999999</v>
      </c>
      <c r="T66">
        <v>56.910119649999999</v>
      </c>
      <c r="U66">
        <v>52.618535569999999</v>
      </c>
      <c r="V66">
        <v>4.2915840814999999</v>
      </c>
    </row>
    <row r="67" spans="1:22">
      <c r="A67" t="s">
        <v>77</v>
      </c>
      <c r="B67" t="s">
        <v>63</v>
      </c>
      <c r="C67" s="3">
        <v>11.54648561</v>
      </c>
      <c r="D67" s="3">
        <v>4.6576923030000001</v>
      </c>
      <c r="E67" s="3">
        <v>3.951142463</v>
      </c>
      <c r="F67" s="3">
        <v>19.133792849999999</v>
      </c>
      <c r="G67" s="3">
        <v>10.55148455</v>
      </c>
      <c r="H67" s="3">
        <v>0.71553978100000004</v>
      </c>
      <c r="I67" s="3">
        <v>1.599421856</v>
      </c>
      <c r="J67" s="3">
        <v>3.8996705679999999</v>
      </c>
      <c r="K67" s="3">
        <v>2.0390002570000001</v>
      </c>
      <c r="L67" s="3">
        <v>34.814542779999996</v>
      </c>
      <c r="M67" s="3">
        <f t="shared" ref="M67:M130" si="3">C67+F67</f>
        <v>30.680278459999997</v>
      </c>
      <c r="N67" s="3">
        <f>D67+G67+K67+E67</f>
        <v>21.199319573</v>
      </c>
      <c r="O67" s="3">
        <f t="shared" si="2"/>
        <v>41.029174984999997</v>
      </c>
      <c r="P67" s="3">
        <v>38.714213340000001</v>
      </c>
      <c r="Q67" s="3">
        <v>12.1509064</v>
      </c>
      <c r="R67">
        <v>24.9219337633333</v>
      </c>
      <c r="S67">
        <v>19.7913907966667</v>
      </c>
      <c r="T67">
        <v>55.286675440000003</v>
      </c>
      <c r="U67">
        <v>51.6720676766667</v>
      </c>
      <c r="V67">
        <v>3.6146077673333301</v>
      </c>
    </row>
    <row r="68" spans="1:22">
      <c r="A68" t="s">
        <v>78</v>
      </c>
      <c r="B68" t="s">
        <v>63</v>
      </c>
      <c r="C68" s="3">
        <v>12.957795000000001</v>
      </c>
      <c r="D68" s="3">
        <v>5.1264474</v>
      </c>
      <c r="E68" s="3">
        <v>4.3480725299999996</v>
      </c>
      <c r="F68" s="3">
        <v>20.98217065</v>
      </c>
      <c r="G68" s="3">
        <v>10.07536459</v>
      </c>
      <c r="H68" s="3">
        <v>0.97116291499999996</v>
      </c>
      <c r="I68" s="3">
        <v>1.6193655060000001</v>
      </c>
      <c r="J68" s="3">
        <v>3.3499805760000001</v>
      </c>
      <c r="K68" s="3">
        <v>2.2205722560000001</v>
      </c>
      <c r="L68" s="3">
        <v>29.18079212</v>
      </c>
      <c r="M68" s="3">
        <f t="shared" si="3"/>
        <v>33.939965650000005</v>
      </c>
      <c r="N68" s="3">
        <f>D68+G68+K68+E68</f>
        <v>21.770456776</v>
      </c>
      <c r="O68" s="3">
        <f t="shared" si="2"/>
        <v>35.121301117000002</v>
      </c>
      <c r="P68" s="3">
        <v>32.5307727</v>
      </c>
      <c r="Q68" s="3">
        <v>11.69473009</v>
      </c>
      <c r="R68">
        <v>24.483876393333301</v>
      </c>
      <c r="S68">
        <v>20.60969223</v>
      </c>
      <c r="T68">
        <v>54.906431380000001</v>
      </c>
      <c r="U68">
        <v>51.116637426666699</v>
      </c>
      <c r="V68">
        <v>3.7897939503333302</v>
      </c>
    </row>
    <row r="69" spans="1:22">
      <c r="A69" t="s">
        <v>79</v>
      </c>
      <c r="B69" t="s">
        <v>63</v>
      </c>
      <c r="C69" s="3">
        <v>12.957795000000001</v>
      </c>
      <c r="D69" s="3">
        <v>5.1264474</v>
      </c>
      <c r="E69" s="3">
        <v>4.3480725299999996</v>
      </c>
      <c r="F69" s="3">
        <v>20.98217065</v>
      </c>
      <c r="G69" s="3">
        <v>10.07536459</v>
      </c>
      <c r="H69" s="3">
        <v>0.97116291499999996</v>
      </c>
      <c r="I69" s="3">
        <v>1.6193655060000001</v>
      </c>
      <c r="J69" s="3">
        <v>3.3499805760000001</v>
      </c>
      <c r="K69" s="3">
        <v>2.2205722560000001</v>
      </c>
      <c r="L69" s="3">
        <v>29.18079212</v>
      </c>
      <c r="M69" s="3">
        <f t="shared" si="3"/>
        <v>33.939965650000005</v>
      </c>
      <c r="N69" s="3">
        <f>D69+G69+K69+E69</f>
        <v>21.770456776</v>
      </c>
      <c r="O69" s="3">
        <f t="shared" si="2"/>
        <v>35.121301117000002</v>
      </c>
      <c r="P69" s="3">
        <v>32.5307727</v>
      </c>
      <c r="Q69" s="3">
        <v>11.69473009</v>
      </c>
      <c r="R69">
        <v>24.7127605533333</v>
      </c>
      <c r="S69">
        <v>19.787542736666701</v>
      </c>
      <c r="T69">
        <v>55.4996967133333</v>
      </c>
      <c r="U69">
        <v>52.211895830000003</v>
      </c>
      <c r="V69">
        <v>3.28780088433333</v>
      </c>
    </row>
    <row r="70" spans="1:22">
      <c r="A70" t="s">
        <v>80</v>
      </c>
      <c r="B70" t="s">
        <v>63</v>
      </c>
      <c r="C70">
        <v>12.957795000000001</v>
      </c>
      <c r="D70">
        <v>5.1264474</v>
      </c>
      <c r="E70">
        <v>4.3480725299999996</v>
      </c>
      <c r="F70">
        <v>20.98217065</v>
      </c>
      <c r="G70">
        <v>10.07536459</v>
      </c>
      <c r="H70">
        <v>0.97116291499999996</v>
      </c>
      <c r="I70">
        <v>1.6193655060000001</v>
      </c>
      <c r="J70">
        <v>3.3499805760000001</v>
      </c>
      <c r="K70">
        <v>2.2205722560000001</v>
      </c>
      <c r="L70">
        <v>29.18079212</v>
      </c>
      <c r="M70" s="3">
        <f t="shared" si="3"/>
        <v>33.939965650000005</v>
      </c>
      <c r="N70" s="3">
        <f>D70+G70+K70+E70</f>
        <v>21.770456776</v>
      </c>
      <c r="O70" s="3">
        <f t="shared" si="2"/>
        <v>35.121301117000002</v>
      </c>
      <c r="P70">
        <v>32.5307727</v>
      </c>
      <c r="Q70">
        <v>11.69473009</v>
      </c>
      <c r="R70">
        <v>24.648504296666701</v>
      </c>
      <c r="S70">
        <v>20.368912923333301</v>
      </c>
      <c r="T70">
        <v>54.982582780000001</v>
      </c>
      <c r="U70">
        <v>51.504110286666702</v>
      </c>
      <c r="V70">
        <v>3.4784724943333298</v>
      </c>
    </row>
    <row r="71" spans="1:22">
      <c r="A71" t="s">
        <v>81</v>
      </c>
      <c r="B71" t="s">
        <v>63</v>
      </c>
      <c r="C71" s="3">
        <v>10.2676613</v>
      </c>
      <c r="D71" s="3">
        <v>2.3626386699999999</v>
      </c>
      <c r="E71" s="3">
        <v>3.854537729</v>
      </c>
      <c r="F71" s="3">
        <v>15.66554616</v>
      </c>
      <c r="G71" s="3">
        <v>7.350979454</v>
      </c>
      <c r="H71" s="3">
        <v>0.76748059000000002</v>
      </c>
      <c r="I71" s="3">
        <v>1.39019246</v>
      </c>
      <c r="J71" s="3">
        <v>4.1111553519999999</v>
      </c>
      <c r="K71" s="3">
        <v>2.694851968</v>
      </c>
      <c r="L71" s="3">
        <v>45.468179599999999</v>
      </c>
      <c r="M71" s="3">
        <f t="shared" si="3"/>
        <v>25.933207459999998</v>
      </c>
      <c r="N71" s="3">
        <f>D71+G71+K71+E71</f>
        <v>16.263007820999999</v>
      </c>
      <c r="O71" s="3">
        <f t="shared" si="2"/>
        <v>51.737008001999996</v>
      </c>
      <c r="P71" s="3">
        <v>49.579334950000003</v>
      </c>
      <c r="Q71" s="3">
        <v>8.7411719150000007</v>
      </c>
      <c r="R71">
        <v>23.164139163333299</v>
      </c>
      <c r="S71">
        <v>15.14360638</v>
      </c>
      <c r="T71">
        <v>61.692254453333298</v>
      </c>
      <c r="U71">
        <v>58.712301619999998</v>
      </c>
      <c r="V71">
        <v>2.9799528300000002</v>
      </c>
    </row>
    <row r="72" spans="1:22">
      <c r="A72" t="s">
        <v>82</v>
      </c>
      <c r="B72" t="s">
        <v>63</v>
      </c>
      <c r="C72" s="3">
        <v>10.2676613</v>
      </c>
      <c r="D72" s="3">
        <v>2.3626386699999999</v>
      </c>
      <c r="E72" s="3">
        <v>3.854537729</v>
      </c>
      <c r="F72" s="3">
        <v>15.66554616</v>
      </c>
      <c r="G72" s="3">
        <v>7.350979454</v>
      </c>
      <c r="H72" s="3">
        <v>0.76748059000000002</v>
      </c>
      <c r="I72" s="3">
        <v>1.39019246</v>
      </c>
      <c r="J72" s="3">
        <v>4.1111553519999999</v>
      </c>
      <c r="K72" s="3">
        <v>2.694851968</v>
      </c>
      <c r="L72" s="3">
        <v>45.468179599999999</v>
      </c>
      <c r="M72" s="3">
        <f t="shared" si="3"/>
        <v>25.933207459999998</v>
      </c>
      <c r="N72" s="3">
        <f>D72+G72+K72+E72</f>
        <v>16.263007820999999</v>
      </c>
      <c r="O72" s="3">
        <f t="shared" si="2"/>
        <v>51.737008001999996</v>
      </c>
      <c r="P72" s="3">
        <v>49.579334950000003</v>
      </c>
      <c r="Q72" s="3">
        <v>8.7411719150000007</v>
      </c>
      <c r="R72">
        <v>22.020346379999999</v>
      </c>
      <c r="S72">
        <v>16.703369899999998</v>
      </c>
      <c r="T72">
        <v>61.2762837233333</v>
      </c>
      <c r="U72">
        <v>57.414949716666698</v>
      </c>
      <c r="V72">
        <v>3.86133400533333</v>
      </c>
    </row>
    <row r="73" spans="1:22">
      <c r="A73" t="s">
        <v>83</v>
      </c>
      <c r="B73" t="s">
        <v>63</v>
      </c>
      <c r="C73" s="3">
        <v>10.2676613</v>
      </c>
      <c r="D73" s="3">
        <v>2.3626386699999999</v>
      </c>
      <c r="E73" s="3">
        <v>3.854537729</v>
      </c>
      <c r="F73" s="3">
        <v>15.66554616</v>
      </c>
      <c r="G73" s="3">
        <v>7.350979454</v>
      </c>
      <c r="H73" s="3">
        <v>0.76748059000000002</v>
      </c>
      <c r="I73" s="3">
        <v>1.39019246</v>
      </c>
      <c r="J73" s="3">
        <v>4.1111553519999999</v>
      </c>
      <c r="K73" s="3">
        <v>2.694851968</v>
      </c>
      <c r="L73" s="3">
        <v>45.468179599999999</v>
      </c>
      <c r="M73" s="3">
        <f t="shared" si="3"/>
        <v>25.933207459999998</v>
      </c>
      <c r="N73" s="3">
        <f>D73+G73+K73+E73</f>
        <v>16.263007820999999</v>
      </c>
      <c r="O73" s="3">
        <f t="shared" si="2"/>
        <v>51.737008001999996</v>
      </c>
      <c r="P73" s="3">
        <v>49.579334950000003</v>
      </c>
      <c r="Q73" s="3">
        <v>8.7411719150000007</v>
      </c>
      <c r="R73">
        <v>20.502653786666698</v>
      </c>
      <c r="S73">
        <v>19.6081427933333</v>
      </c>
      <c r="T73">
        <v>59.889203420000001</v>
      </c>
      <c r="U73">
        <v>56.570614966666703</v>
      </c>
      <c r="V73">
        <v>3.3185884506666699</v>
      </c>
    </row>
    <row r="74" spans="1:22">
      <c r="A74" t="s">
        <v>84</v>
      </c>
      <c r="B74" t="s">
        <v>63</v>
      </c>
      <c r="C74" s="3">
        <v>12.468670810000001</v>
      </c>
      <c r="D74" s="3">
        <v>4.5297295880000004</v>
      </c>
      <c r="E74" s="3">
        <v>4.2841098759999996</v>
      </c>
      <c r="F74" s="3">
        <v>19.149253460000001</v>
      </c>
      <c r="G74" s="3">
        <v>11.352427540000001</v>
      </c>
      <c r="H74" s="3">
        <v>1.2200744889999999</v>
      </c>
      <c r="I74" s="3">
        <v>1.376843952</v>
      </c>
      <c r="J74" s="3">
        <v>3.4566399649999999</v>
      </c>
      <c r="K74" s="3">
        <v>2.2413428999999998</v>
      </c>
      <c r="L74" s="3">
        <v>30.080454939999999</v>
      </c>
      <c r="M74" s="3">
        <f t="shared" si="3"/>
        <v>31.617924270000003</v>
      </c>
      <c r="N74" s="3">
        <f>D74+G74+K74+E74</f>
        <v>22.407609904000001</v>
      </c>
      <c r="O74" s="3">
        <f t="shared" si="2"/>
        <v>36.134013345999996</v>
      </c>
      <c r="P74" s="3">
        <v>33.53709491</v>
      </c>
      <c r="Q74" s="3">
        <v>12.72927149</v>
      </c>
      <c r="R74">
        <v>20.7910350633333</v>
      </c>
      <c r="S74">
        <v>22.233808436666699</v>
      </c>
      <c r="T74">
        <v>56.975156499999997</v>
      </c>
      <c r="U74">
        <v>53.66954278</v>
      </c>
      <c r="V74">
        <v>3.3056137193333299</v>
      </c>
    </row>
    <row r="75" spans="1:22">
      <c r="A75" t="s">
        <v>85</v>
      </c>
      <c r="B75" t="s">
        <v>63</v>
      </c>
      <c r="C75" s="3">
        <v>12.468670810000001</v>
      </c>
      <c r="D75" s="3">
        <v>4.5297295880000004</v>
      </c>
      <c r="E75" s="3">
        <v>4.2841098759999996</v>
      </c>
      <c r="F75" s="3">
        <v>19.149253460000001</v>
      </c>
      <c r="G75" s="3">
        <v>11.352427540000001</v>
      </c>
      <c r="H75" s="3">
        <v>1.2200744889999999</v>
      </c>
      <c r="I75" s="3">
        <v>1.376843952</v>
      </c>
      <c r="J75" s="3">
        <v>3.4566399649999999</v>
      </c>
      <c r="K75" s="3">
        <v>2.2413428999999998</v>
      </c>
      <c r="L75" s="3">
        <v>30.080454939999999</v>
      </c>
      <c r="M75" s="3">
        <f t="shared" si="3"/>
        <v>31.617924270000003</v>
      </c>
      <c r="N75" s="3">
        <f>D75+G75+K75+E75</f>
        <v>22.407609904000001</v>
      </c>
      <c r="O75" s="3">
        <f t="shared" si="2"/>
        <v>36.134013345999996</v>
      </c>
      <c r="P75" s="3">
        <v>33.53709491</v>
      </c>
      <c r="Q75" s="3">
        <v>12.72927149</v>
      </c>
      <c r="R75">
        <v>24.308734999999999</v>
      </c>
      <c r="S75">
        <v>23.8910682733333</v>
      </c>
      <c r="T75">
        <v>51.800196726666698</v>
      </c>
      <c r="U75">
        <v>47.969822466666699</v>
      </c>
      <c r="V75">
        <v>3.8303742593333299</v>
      </c>
    </row>
    <row r="76" spans="1:22">
      <c r="A76" t="s">
        <v>86</v>
      </c>
      <c r="B76" t="s">
        <v>63</v>
      </c>
      <c r="C76" s="3">
        <v>12.468670810000001</v>
      </c>
      <c r="D76" s="3">
        <v>4.5297295880000004</v>
      </c>
      <c r="E76" s="3">
        <v>4.2841098759999996</v>
      </c>
      <c r="F76" s="3">
        <v>19.149253460000001</v>
      </c>
      <c r="G76" s="3">
        <v>11.352427540000001</v>
      </c>
      <c r="H76" s="3">
        <v>1.2200744889999999</v>
      </c>
      <c r="I76" s="3">
        <v>1.376843952</v>
      </c>
      <c r="J76" s="3">
        <v>3.4566399649999999</v>
      </c>
      <c r="K76" s="3">
        <v>2.2413428999999998</v>
      </c>
      <c r="L76" s="3">
        <v>30.080454939999999</v>
      </c>
      <c r="M76" s="3">
        <f t="shared" si="3"/>
        <v>31.617924270000003</v>
      </c>
      <c r="N76" s="3">
        <f>D76+G76+K76+E76</f>
        <v>22.407609904000001</v>
      </c>
      <c r="O76" s="3">
        <f t="shared" si="2"/>
        <v>36.134013345999996</v>
      </c>
      <c r="P76" s="3">
        <v>33.53709491</v>
      </c>
      <c r="Q76" s="3">
        <v>12.72927149</v>
      </c>
      <c r="R76">
        <v>24.894471043333301</v>
      </c>
      <c r="S76">
        <v>26.451197029999999</v>
      </c>
      <c r="T76">
        <v>48.654331929999998</v>
      </c>
      <c r="U76">
        <v>44.729819153333302</v>
      </c>
      <c r="V76">
        <v>3.92451277566667</v>
      </c>
    </row>
    <row r="77" spans="1:22">
      <c r="A77" t="s">
        <v>87</v>
      </c>
      <c r="B77" t="s">
        <v>63</v>
      </c>
      <c r="C77" s="3">
        <v>11.84118097</v>
      </c>
      <c r="D77" s="3">
        <v>4.259953114</v>
      </c>
      <c r="E77" s="3">
        <v>4.1829242820000001</v>
      </c>
      <c r="F77" s="3">
        <v>20.612552010000002</v>
      </c>
      <c r="G77" s="3">
        <v>13.24336501</v>
      </c>
      <c r="H77" s="3">
        <v>0.81142733499999997</v>
      </c>
      <c r="I77" s="3">
        <v>0.96613156300000003</v>
      </c>
      <c r="J77" s="3">
        <v>4.0579723559999996</v>
      </c>
      <c r="K77" s="3">
        <v>2.7945665200000001</v>
      </c>
      <c r="L77" s="3">
        <v>31.445097820000001</v>
      </c>
      <c r="M77" s="3">
        <f t="shared" si="3"/>
        <v>32.453732979999998</v>
      </c>
      <c r="N77" s="3">
        <f>D77+G77+K77+E77</f>
        <v>24.480808926000002</v>
      </c>
      <c r="O77" s="3">
        <f t="shared" si="2"/>
        <v>37.280629074000004</v>
      </c>
      <c r="P77" s="3">
        <v>35.503070180000002</v>
      </c>
      <c r="Q77" s="3">
        <v>14.20949658</v>
      </c>
      <c r="R77">
        <v>22.902603483333301</v>
      </c>
      <c r="S77">
        <v>26.208844840000001</v>
      </c>
      <c r="T77">
        <v>50.888551673333303</v>
      </c>
      <c r="U77">
        <v>48.486615700000002</v>
      </c>
      <c r="V77">
        <v>2.4019359756666701</v>
      </c>
    </row>
    <row r="78" spans="1:22">
      <c r="A78" t="s">
        <v>88</v>
      </c>
      <c r="B78" t="s">
        <v>63</v>
      </c>
      <c r="C78" s="3">
        <v>11.84118097</v>
      </c>
      <c r="D78" s="3">
        <v>4.259953114</v>
      </c>
      <c r="E78" s="3">
        <v>4.1829242820000001</v>
      </c>
      <c r="F78" s="3">
        <v>20.612552010000002</v>
      </c>
      <c r="G78" s="3">
        <v>13.24336501</v>
      </c>
      <c r="H78" s="3">
        <v>0.81142733499999997</v>
      </c>
      <c r="I78" s="3">
        <v>0.96613156300000003</v>
      </c>
      <c r="J78" s="3">
        <v>4.0579723559999996</v>
      </c>
      <c r="K78" s="3">
        <v>2.7945665200000001</v>
      </c>
      <c r="L78" s="3">
        <v>31.445097820000001</v>
      </c>
      <c r="M78" s="3">
        <f t="shared" si="3"/>
        <v>32.453732979999998</v>
      </c>
      <c r="N78" s="3">
        <f>D78+G78+K78+E78</f>
        <v>24.480808926000002</v>
      </c>
      <c r="O78" s="3">
        <f t="shared" si="2"/>
        <v>37.280629074000004</v>
      </c>
      <c r="P78" s="3">
        <v>35.503070180000002</v>
      </c>
      <c r="Q78" s="3">
        <v>14.20949658</v>
      </c>
      <c r="R78">
        <v>23.280826253333299</v>
      </c>
      <c r="S78">
        <v>24.899548823333301</v>
      </c>
      <c r="T78">
        <v>51.819624923333301</v>
      </c>
      <c r="U78">
        <v>49.550823250000001</v>
      </c>
      <c r="V78">
        <v>2.268801668</v>
      </c>
    </row>
    <row r="79" spans="1:22">
      <c r="A79" t="s">
        <v>89</v>
      </c>
      <c r="B79" t="s">
        <v>63</v>
      </c>
      <c r="C79" s="3">
        <v>11.84118097</v>
      </c>
      <c r="D79" s="3">
        <v>4.259953114</v>
      </c>
      <c r="E79" s="3">
        <v>4.1829242820000001</v>
      </c>
      <c r="F79" s="3">
        <v>20.612552010000002</v>
      </c>
      <c r="G79" s="3">
        <v>13.24336501</v>
      </c>
      <c r="H79" s="3">
        <v>0.81142733499999997</v>
      </c>
      <c r="I79" s="3">
        <v>0.96613156300000003</v>
      </c>
      <c r="J79" s="3">
        <v>4.0579723559999996</v>
      </c>
      <c r="K79" s="3">
        <v>2.7945665200000001</v>
      </c>
      <c r="L79" s="3">
        <v>31.445097820000001</v>
      </c>
      <c r="M79" s="3">
        <f t="shared" si="3"/>
        <v>32.453732979999998</v>
      </c>
      <c r="N79" s="3">
        <f>D79+G79+K79+E79</f>
        <v>24.480808926000002</v>
      </c>
      <c r="O79" s="3">
        <f t="shared" si="2"/>
        <v>37.280629074000004</v>
      </c>
      <c r="P79" s="3">
        <v>35.503070180000002</v>
      </c>
      <c r="Q79" s="3">
        <v>14.20949658</v>
      </c>
      <c r="R79">
        <v>25.833261003333298</v>
      </c>
      <c r="S79">
        <v>26.073825603333301</v>
      </c>
      <c r="T79">
        <v>48.09291339</v>
      </c>
      <c r="U79">
        <v>47.182140166666699</v>
      </c>
      <c r="V79">
        <v>0.91077322266666705</v>
      </c>
    </row>
    <row r="80" spans="1:22">
      <c r="A80" t="s">
        <v>90</v>
      </c>
      <c r="B80" t="s">
        <v>63</v>
      </c>
      <c r="C80" s="3">
        <v>11.051973650000001</v>
      </c>
      <c r="D80" s="3">
        <v>4.6785209310000004</v>
      </c>
      <c r="E80" s="3">
        <v>4.4210448099999997</v>
      </c>
      <c r="F80" s="3">
        <v>19.651305740000002</v>
      </c>
      <c r="G80" s="3">
        <v>13.05308775</v>
      </c>
      <c r="H80" s="3">
        <v>0.97190861500000003</v>
      </c>
      <c r="I80" s="3">
        <v>0.20434353699999999</v>
      </c>
      <c r="J80" s="3">
        <v>4.1701576239999998</v>
      </c>
      <c r="K80" s="3">
        <v>3.4499082890000001</v>
      </c>
      <c r="L80" s="3">
        <v>31.433477400000001</v>
      </c>
      <c r="M80" s="3">
        <f t="shared" si="3"/>
        <v>30.703279390000002</v>
      </c>
      <c r="N80" s="3">
        <f>D80+G80+K80+E80</f>
        <v>25.602561780000002</v>
      </c>
      <c r="O80" s="3">
        <f t="shared" si="2"/>
        <v>36.779887176000003</v>
      </c>
      <c r="P80" s="3">
        <v>35.603635019999999</v>
      </c>
      <c r="Q80" s="3">
        <v>13.25743129</v>
      </c>
      <c r="R80">
        <v>20.746918520000001</v>
      </c>
      <c r="S80">
        <v>21.2990056133333</v>
      </c>
      <c r="T80">
        <v>57.954075860000003</v>
      </c>
      <c r="U80">
        <v>56.495980873333302</v>
      </c>
      <c r="V80">
        <v>1.4580949883333301</v>
      </c>
    </row>
    <row r="81" spans="1:22">
      <c r="A81" t="s">
        <v>91</v>
      </c>
      <c r="B81" t="s">
        <v>63</v>
      </c>
      <c r="C81" s="3">
        <v>11.051973650000001</v>
      </c>
      <c r="D81" s="3">
        <v>4.6785209310000004</v>
      </c>
      <c r="E81" s="3">
        <v>4.4210448099999997</v>
      </c>
      <c r="F81" s="3">
        <v>19.651305740000002</v>
      </c>
      <c r="G81" s="3">
        <v>13.05308775</v>
      </c>
      <c r="H81" s="3">
        <v>0.97190861500000003</v>
      </c>
      <c r="I81" s="3">
        <v>0.20434353699999999</v>
      </c>
      <c r="J81" s="3">
        <v>4.1701576239999998</v>
      </c>
      <c r="K81" s="3">
        <v>3.4499082890000001</v>
      </c>
      <c r="L81" s="3">
        <v>31.433477400000001</v>
      </c>
      <c r="M81" s="3">
        <f t="shared" si="3"/>
        <v>30.703279390000002</v>
      </c>
      <c r="N81" s="3">
        <f>D81+G81+K81+E81</f>
        <v>25.602561780000002</v>
      </c>
      <c r="O81" s="3">
        <f t="shared" si="2"/>
        <v>36.779887176000003</v>
      </c>
      <c r="P81" s="3">
        <v>35.603635019999999</v>
      </c>
      <c r="Q81" s="3">
        <v>13.25743129</v>
      </c>
      <c r="R81">
        <v>21.97617876</v>
      </c>
      <c r="S81">
        <v>27.985345120000002</v>
      </c>
      <c r="T81">
        <v>50.0384761166667</v>
      </c>
      <c r="U81">
        <v>49.405360576666702</v>
      </c>
      <c r="V81">
        <v>0.633115542333333</v>
      </c>
    </row>
    <row r="82" spans="1:22">
      <c r="A82" t="s">
        <v>92</v>
      </c>
      <c r="B82" t="s">
        <v>63</v>
      </c>
      <c r="C82" s="3">
        <v>11.051973650000001</v>
      </c>
      <c r="D82" s="3">
        <v>4.6785209310000004</v>
      </c>
      <c r="E82" s="3">
        <v>4.4210448099999997</v>
      </c>
      <c r="F82" s="3">
        <v>19.651305740000002</v>
      </c>
      <c r="G82" s="3">
        <v>13.05308775</v>
      </c>
      <c r="H82" s="3">
        <v>0.97190861500000003</v>
      </c>
      <c r="I82" s="3">
        <v>0.20434353699999999</v>
      </c>
      <c r="J82" s="3">
        <v>4.1701576239999998</v>
      </c>
      <c r="K82" s="3">
        <v>3.4499082890000001</v>
      </c>
      <c r="L82" s="3">
        <v>31.433477400000001</v>
      </c>
      <c r="M82" s="3">
        <f t="shared" si="3"/>
        <v>30.703279390000002</v>
      </c>
      <c r="N82" s="3">
        <f>D82+G82+K82+E82</f>
        <v>25.602561780000002</v>
      </c>
      <c r="O82" s="3">
        <f t="shared" si="2"/>
        <v>36.779887176000003</v>
      </c>
      <c r="P82" s="3">
        <v>35.603635019999999</v>
      </c>
      <c r="Q82" s="3">
        <v>13.25743129</v>
      </c>
      <c r="R82">
        <v>19.49417497</v>
      </c>
      <c r="S82">
        <v>21.669105883333302</v>
      </c>
      <c r="T82">
        <v>58.83671915</v>
      </c>
      <c r="U82">
        <v>57.192694500000002</v>
      </c>
      <c r="V82">
        <v>1.6440246510000001</v>
      </c>
    </row>
    <row r="83" spans="1:22">
      <c r="A83" t="s">
        <v>93</v>
      </c>
      <c r="B83" t="s">
        <v>63</v>
      </c>
      <c r="C83" s="3">
        <v>12.072854700000001</v>
      </c>
      <c r="D83" s="3">
        <v>4.5807445619999996</v>
      </c>
      <c r="E83" s="3">
        <v>4.7303584660000002</v>
      </c>
      <c r="F83" s="3">
        <v>22.424899669999999</v>
      </c>
      <c r="G83" s="3">
        <v>12.88717574</v>
      </c>
      <c r="H83" s="3">
        <v>1.129273043</v>
      </c>
      <c r="I83" s="3">
        <v>0.20602145799999999</v>
      </c>
      <c r="J83" s="3">
        <v>3.9986066760000001</v>
      </c>
      <c r="K83" s="3">
        <v>3.7313362529999998</v>
      </c>
      <c r="L83" s="3">
        <v>30.97025786</v>
      </c>
      <c r="M83" s="3">
        <f t="shared" si="3"/>
        <v>34.497754369999996</v>
      </c>
      <c r="N83" s="3">
        <f>D83+G83+K83+E83</f>
        <v>25.929615020999996</v>
      </c>
      <c r="O83" s="3">
        <f t="shared" si="2"/>
        <v>36.304159036999998</v>
      </c>
      <c r="P83" s="3">
        <v>34.968864539999998</v>
      </c>
      <c r="Q83" s="3">
        <v>8.7974719480000001</v>
      </c>
      <c r="R83">
        <v>26.4104817433333</v>
      </c>
      <c r="S83">
        <v>25.2106812666667</v>
      </c>
      <c r="T83">
        <v>48.378836990000003</v>
      </c>
      <c r="U83">
        <v>45.086183820000002</v>
      </c>
      <c r="V83">
        <v>3.2926531696666701</v>
      </c>
    </row>
    <row r="84" spans="1:22">
      <c r="A84" t="s">
        <v>94</v>
      </c>
      <c r="B84" t="s">
        <v>63</v>
      </c>
      <c r="C84" s="3">
        <v>12.072854700000001</v>
      </c>
      <c r="D84" s="3">
        <v>4.5807445619999996</v>
      </c>
      <c r="E84" s="3">
        <v>4.7303584660000002</v>
      </c>
      <c r="F84" s="3">
        <v>22.424899669999999</v>
      </c>
      <c r="G84" s="3">
        <v>12.88717574</v>
      </c>
      <c r="H84" s="3">
        <v>1.129273043</v>
      </c>
      <c r="I84" s="3">
        <v>0.20602145799999999</v>
      </c>
      <c r="J84" s="3">
        <v>3.9986066760000001</v>
      </c>
      <c r="K84" s="3">
        <v>3.7313362529999998</v>
      </c>
      <c r="L84" s="3">
        <v>30.97025786</v>
      </c>
      <c r="M84" s="3">
        <f t="shared" si="3"/>
        <v>34.497754369999996</v>
      </c>
      <c r="N84" s="3">
        <f>D84+G84+K84+E84</f>
        <v>25.929615020999996</v>
      </c>
      <c r="O84" s="3">
        <f t="shared" si="2"/>
        <v>36.304159036999998</v>
      </c>
      <c r="P84" s="3">
        <v>34.968864539999998</v>
      </c>
      <c r="Q84" s="3">
        <v>8.7974719480000001</v>
      </c>
      <c r="R84">
        <v>24.5536435166667</v>
      </c>
      <c r="S84">
        <v>23.893460560000001</v>
      </c>
      <c r="T84">
        <v>51.552895919999997</v>
      </c>
      <c r="U84">
        <v>49.130529373333303</v>
      </c>
      <c r="V84">
        <v>2.4223665463333299</v>
      </c>
    </row>
    <row r="85" spans="1:22">
      <c r="A85" t="s">
        <v>95</v>
      </c>
      <c r="B85" t="s">
        <v>63</v>
      </c>
      <c r="C85" s="3">
        <v>12.072854700000001</v>
      </c>
      <c r="D85" s="3">
        <v>4.5807445619999996</v>
      </c>
      <c r="E85" s="3">
        <v>4.7303584660000002</v>
      </c>
      <c r="F85" s="3">
        <v>22.424899669999999</v>
      </c>
      <c r="G85" s="3">
        <v>12.88717574</v>
      </c>
      <c r="H85" s="3">
        <v>1.129273043</v>
      </c>
      <c r="I85" s="3">
        <v>0.20602145799999999</v>
      </c>
      <c r="J85" s="3">
        <v>3.9986066760000001</v>
      </c>
      <c r="K85" s="3">
        <v>3.7313362529999998</v>
      </c>
      <c r="L85" s="3">
        <v>30.97025786</v>
      </c>
      <c r="M85" s="3">
        <f t="shared" si="3"/>
        <v>34.497754369999996</v>
      </c>
      <c r="N85" s="3">
        <f>D85+G85+K85+E85</f>
        <v>25.929615020999996</v>
      </c>
      <c r="O85" s="3">
        <f t="shared" si="2"/>
        <v>36.304159036999998</v>
      </c>
      <c r="P85" s="3">
        <v>34.968864539999998</v>
      </c>
      <c r="Q85" s="3">
        <v>8.7974719480000001</v>
      </c>
      <c r="R85">
        <v>24.27194836</v>
      </c>
      <c r="S85">
        <v>22.1570507666667</v>
      </c>
      <c r="T85">
        <v>53.571000876666702</v>
      </c>
      <c r="U85">
        <v>51.037035103333302</v>
      </c>
      <c r="V85">
        <v>2.5339657713333299</v>
      </c>
    </row>
    <row r="86" spans="1:22">
      <c r="A86" t="s">
        <v>96</v>
      </c>
      <c r="B86" t="s">
        <v>63</v>
      </c>
      <c r="C86" s="3">
        <v>12.995619039999999</v>
      </c>
      <c r="D86" s="3">
        <v>6.217462147</v>
      </c>
      <c r="E86" s="3">
        <v>4.7709148450000001</v>
      </c>
      <c r="F86" s="3">
        <v>12.14873113</v>
      </c>
      <c r="G86" s="3">
        <v>7.3217903599999996</v>
      </c>
      <c r="H86" s="3">
        <v>0.96266388400000003</v>
      </c>
      <c r="I86" s="3">
        <v>0.194203288</v>
      </c>
      <c r="J86" s="3">
        <v>5.7265537670000004</v>
      </c>
      <c r="K86" s="3">
        <v>4.2407854599999997</v>
      </c>
      <c r="L86" s="3">
        <v>40.464216159999999</v>
      </c>
      <c r="M86" s="3">
        <f t="shared" si="3"/>
        <v>25.144350169999999</v>
      </c>
      <c r="N86" s="3">
        <f>D86+G86+K86+E86</f>
        <v>22.550952811999998</v>
      </c>
      <c r="O86" s="3">
        <f t="shared" si="2"/>
        <v>47.347637098999996</v>
      </c>
      <c r="P86" s="3">
        <v>46.190769930000002</v>
      </c>
      <c r="Q86" s="3">
        <v>5.0753968609999998</v>
      </c>
      <c r="R86">
        <v>23.709015480000001</v>
      </c>
      <c r="S86">
        <v>20.025229599999999</v>
      </c>
      <c r="T86">
        <v>56.265754919999999</v>
      </c>
      <c r="U86">
        <v>53.138429993333297</v>
      </c>
      <c r="V86">
        <v>3.1273249243333301</v>
      </c>
    </row>
    <row r="87" spans="1:22">
      <c r="A87" t="s">
        <v>97</v>
      </c>
      <c r="B87" t="s">
        <v>63</v>
      </c>
      <c r="C87" s="3">
        <v>12.995619039999999</v>
      </c>
      <c r="D87" s="3">
        <v>6.217462147</v>
      </c>
      <c r="E87" s="3">
        <v>4.7709148450000001</v>
      </c>
      <c r="F87" s="3">
        <v>12.14873113</v>
      </c>
      <c r="G87" s="3">
        <v>7.3217903599999996</v>
      </c>
      <c r="H87" s="3">
        <v>0.96266388400000003</v>
      </c>
      <c r="I87" s="3">
        <v>0.194203288</v>
      </c>
      <c r="J87" s="3">
        <v>5.7265537670000004</v>
      </c>
      <c r="K87" s="3">
        <v>4.2407854599999997</v>
      </c>
      <c r="L87" s="3">
        <v>40.464216159999999</v>
      </c>
      <c r="M87" s="3">
        <f t="shared" si="3"/>
        <v>25.144350169999999</v>
      </c>
      <c r="N87" s="3">
        <f>D87+G87+K87+E87</f>
        <v>22.550952811999998</v>
      </c>
      <c r="O87" s="3">
        <f t="shared" ref="O87:O150" si="4">J87+I87+H87+L87</f>
        <v>47.347637098999996</v>
      </c>
      <c r="P87" s="3">
        <v>46.190769930000002</v>
      </c>
      <c r="Q87" s="3">
        <v>5.0753968609999998</v>
      </c>
      <c r="R87">
        <v>23.194736850000002</v>
      </c>
      <c r="S87">
        <v>14.8443302766667</v>
      </c>
      <c r="T87">
        <v>61.960932870000001</v>
      </c>
      <c r="U87">
        <v>59.92179204</v>
      </c>
      <c r="V87">
        <v>2.0391408313333299</v>
      </c>
    </row>
    <row r="88" spans="1:22">
      <c r="A88" t="s">
        <v>98</v>
      </c>
      <c r="B88" t="s">
        <v>63</v>
      </c>
      <c r="C88" s="3">
        <v>12.995619039999999</v>
      </c>
      <c r="D88" s="3">
        <v>6.217462147</v>
      </c>
      <c r="E88" s="3">
        <v>4.7709148450000001</v>
      </c>
      <c r="F88" s="3">
        <v>12.14873113</v>
      </c>
      <c r="G88" s="3">
        <v>7.3217903599999996</v>
      </c>
      <c r="H88" s="3">
        <v>0.96266388400000003</v>
      </c>
      <c r="I88" s="3">
        <v>0.194203288</v>
      </c>
      <c r="J88" s="3">
        <v>5.7265537670000004</v>
      </c>
      <c r="K88" s="3">
        <v>4.2407854599999997</v>
      </c>
      <c r="L88" s="3">
        <v>40.464216159999999</v>
      </c>
      <c r="M88" s="3">
        <f t="shared" si="3"/>
        <v>25.144350169999999</v>
      </c>
      <c r="N88" s="3">
        <f>D88+G88+K88+E88</f>
        <v>22.550952811999998</v>
      </c>
      <c r="O88" s="3">
        <f t="shared" si="4"/>
        <v>47.347637098999996</v>
      </c>
      <c r="P88" s="3">
        <v>46.190769930000002</v>
      </c>
      <c r="Q88" s="3">
        <v>5.0753968609999998</v>
      </c>
      <c r="R88">
        <v>23.4614871666667</v>
      </c>
      <c r="S88">
        <v>17.283652306666699</v>
      </c>
      <c r="T88">
        <v>59.254860526666697</v>
      </c>
      <c r="U88">
        <v>56.999732163333299</v>
      </c>
      <c r="V88">
        <v>2.255128365</v>
      </c>
    </row>
    <row r="89" spans="1:22">
      <c r="A89" t="s">
        <v>99</v>
      </c>
      <c r="B89" t="s">
        <v>63</v>
      </c>
      <c r="C89" s="3">
        <v>12.45938808</v>
      </c>
      <c r="D89" s="3">
        <v>5.6995998380000001</v>
      </c>
      <c r="E89" s="3">
        <v>4.4603098360000004</v>
      </c>
      <c r="F89" s="3">
        <v>9.7439265269999993</v>
      </c>
      <c r="G89" s="3">
        <v>4.3638351289999999</v>
      </c>
      <c r="H89" s="3">
        <v>1.1878726289999999</v>
      </c>
      <c r="I89" s="3">
        <v>0.18325069699999999</v>
      </c>
      <c r="J89" s="3">
        <v>6.6428241469999998</v>
      </c>
      <c r="K89" s="3">
        <v>5.0838941640000002</v>
      </c>
      <c r="L89" s="3">
        <v>41.952853599999997</v>
      </c>
      <c r="M89" s="3">
        <f t="shared" si="3"/>
        <v>22.203314606999999</v>
      </c>
      <c r="N89" s="3">
        <f>D89+G89+K89+E89</f>
        <v>19.607638967</v>
      </c>
      <c r="O89" s="3">
        <f t="shared" si="4"/>
        <v>49.966801072999999</v>
      </c>
      <c r="P89" s="3">
        <v>48.595677739999999</v>
      </c>
      <c r="Q89" s="3">
        <v>4.547085826</v>
      </c>
      <c r="R89">
        <v>23.6133640633333</v>
      </c>
      <c r="S89">
        <v>18.282262263333301</v>
      </c>
      <c r="T89">
        <v>58.104373673333299</v>
      </c>
      <c r="U89">
        <v>57.3630264833333</v>
      </c>
      <c r="V89">
        <v>0.74134718833333302</v>
      </c>
    </row>
    <row r="90" spans="1:22">
      <c r="A90" t="s">
        <v>100</v>
      </c>
      <c r="B90" t="s">
        <v>63</v>
      </c>
      <c r="C90" s="3">
        <v>12.45938808</v>
      </c>
      <c r="D90" s="3">
        <v>5.6995998380000001</v>
      </c>
      <c r="E90" s="3">
        <v>4.4603098360000004</v>
      </c>
      <c r="F90" s="3">
        <v>9.7439265269999993</v>
      </c>
      <c r="G90" s="3">
        <v>4.3638351289999999</v>
      </c>
      <c r="H90" s="3">
        <v>1.1878726289999999</v>
      </c>
      <c r="I90" s="3">
        <v>0.18325069699999999</v>
      </c>
      <c r="J90" s="3">
        <v>6.6428241469999998</v>
      </c>
      <c r="K90" s="3">
        <v>5.0838941640000002</v>
      </c>
      <c r="L90" s="3">
        <v>41.952853599999997</v>
      </c>
      <c r="M90" s="3">
        <f t="shared" si="3"/>
        <v>22.203314606999999</v>
      </c>
      <c r="N90" s="3">
        <f>D90+G90+K90+E90</f>
        <v>19.607638967</v>
      </c>
      <c r="O90" s="3">
        <f t="shared" si="4"/>
        <v>49.966801072999999</v>
      </c>
      <c r="P90" s="3">
        <v>48.595677739999999</v>
      </c>
      <c r="Q90" s="3">
        <v>4.547085826</v>
      </c>
      <c r="R90">
        <v>23.3404080633333</v>
      </c>
      <c r="S90">
        <v>19.71310802</v>
      </c>
      <c r="T90">
        <v>56.946483919999999</v>
      </c>
      <c r="U90">
        <v>56.2995705033333</v>
      </c>
      <c r="V90">
        <v>0.64691341599999996</v>
      </c>
    </row>
    <row r="91" spans="1:22">
      <c r="A91" t="s">
        <v>101</v>
      </c>
      <c r="B91" t="s">
        <v>63</v>
      </c>
      <c r="C91" s="3">
        <v>12.45938808</v>
      </c>
      <c r="D91" s="3">
        <v>5.6995998380000001</v>
      </c>
      <c r="E91" s="3">
        <v>4.4603098360000004</v>
      </c>
      <c r="F91" s="3">
        <v>9.7439265269999993</v>
      </c>
      <c r="G91" s="3">
        <v>4.3638351289999999</v>
      </c>
      <c r="H91" s="3">
        <v>1.1878726289999999</v>
      </c>
      <c r="I91" s="3">
        <v>0.18325069699999999</v>
      </c>
      <c r="J91" s="3">
        <v>6.6428241469999998</v>
      </c>
      <c r="K91" s="3">
        <v>5.0838941640000002</v>
      </c>
      <c r="L91" s="3">
        <v>41.952853599999997</v>
      </c>
      <c r="M91" s="3">
        <f t="shared" si="3"/>
        <v>22.203314606999999</v>
      </c>
      <c r="N91" s="3">
        <f>D91+G91+K91+E91</f>
        <v>19.607638967</v>
      </c>
      <c r="O91" s="3">
        <f t="shared" si="4"/>
        <v>49.966801072999999</v>
      </c>
      <c r="P91" s="3">
        <v>48.595677739999999</v>
      </c>
      <c r="Q91" s="3">
        <v>4.547085826</v>
      </c>
      <c r="R91">
        <v>23.4347644033333</v>
      </c>
      <c r="S91">
        <v>17.365714130000001</v>
      </c>
      <c r="T91">
        <v>59.199521466666702</v>
      </c>
      <c r="U91">
        <v>58.638318810000001</v>
      </c>
      <c r="V91">
        <v>0.56120265533333302</v>
      </c>
    </row>
    <row r="92" spans="1:22">
      <c r="A92" t="s">
        <v>102</v>
      </c>
      <c r="B92" t="s">
        <v>63</v>
      </c>
      <c r="C92" s="3">
        <v>13.200996200000001</v>
      </c>
      <c r="D92" s="3">
        <v>6.8440499600000004</v>
      </c>
      <c r="E92" s="3">
        <v>5.0323726510000002</v>
      </c>
      <c r="F92" s="3">
        <v>6.8970811039999997</v>
      </c>
      <c r="G92" s="3">
        <v>3.4076162459999999</v>
      </c>
      <c r="H92" s="3">
        <v>0.96415976599999997</v>
      </c>
      <c r="I92" s="3">
        <v>0.20699152200000001</v>
      </c>
      <c r="J92" s="3">
        <v>7.946430189</v>
      </c>
      <c r="K92" s="3">
        <v>4.9538759140000002</v>
      </c>
      <c r="L92" s="3">
        <v>43.725637489999997</v>
      </c>
      <c r="M92" s="3">
        <f t="shared" si="3"/>
        <v>20.098077304</v>
      </c>
      <c r="N92" s="3">
        <f>D92+G92+K92+E92</f>
        <v>20.237914771</v>
      </c>
      <c r="O92" s="3">
        <f t="shared" si="4"/>
        <v>52.843218966999999</v>
      </c>
      <c r="P92" s="3">
        <v>51.672067679999998</v>
      </c>
      <c r="Q92" s="3">
        <v>3.6146077669999999</v>
      </c>
      <c r="R92">
        <v>25.695097929999999</v>
      </c>
      <c r="S92">
        <v>18.91396662</v>
      </c>
      <c r="T92">
        <v>55.390935450000001</v>
      </c>
      <c r="U92">
        <v>55.022759073333297</v>
      </c>
      <c r="V92">
        <v>0.368176383</v>
      </c>
    </row>
    <row r="93" spans="1:22">
      <c r="A93" t="s">
        <v>103</v>
      </c>
      <c r="B93" t="s">
        <v>63</v>
      </c>
      <c r="C93" s="3">
        <v>13.200996200000001</v>
      </c>
      <c r="D93" s="3">
        <v>6.8440499600000004</v>
      </c>
      <c r="E93" s="3">
        <v>5.0323726510000002</v>
      </c>
      <c r="F93" s="3">
        <v>6.8970811039999997</v>
      </c>
      <c r="G93" s="3">
        <v>3.4076162459999999</v>
      </c>
      <c r="H93" s="3">
        <v>0.96415976599999997</v>
      </c>
      <c r="I93" s="3">
        <v>0.20699152200000001</v>
      </c>
      <c r="J93" s="3">
        <v>7.946430189</v>
      </c>
      <c r="K93" s="3">
        <v>4.9538759140000002</v>
      </c>
      <c r="L93" s="3">
        <v>43.725637489999997</v>
      </c>
      <c r="M93" s="3">
        <f t="shared" si="3"/>
        <v>20.098077304</v>
      </c>
      <c r="N93" s="3">
        <f>D93+G93+K93+E93</f>
        <v>20.237914771</v>
      </c>
      <c r="O93" s="3">
        <f t="shared" si="4"/>
        <v>52.843218966999999</v>
      </c>
      <c r="P93" s="3">
        <v>51.672067679999998</v>
      </c>
      <c r="Q93" s="3">
        <v>3.6146077669999999</v>
      </c>
      <c r="R93">
        <v>22.793788903333301</v>
      </c>
      <c r="S93">
        <v>19.914771033333299</v>
      </c>
      <c r="T93">
        <v>57.291440059999999</v>
      </c>
      <c r="U93">
        <v>56.892888720000002</v>
      </c>
      <c r="V93">
        <v>0.39855134133333298</v>
      </c>
    </row>
    <row r="94" spans="1:22">
      <c r="A94" t="s">
        <v>104</v>
      </c>
      <c r="B94" t="s">
        <v>63</v>
      </c>
      <c r="C94" s="3">
        <v>13.200996200000001</v>
      </c>
      <c r="D94" s="3">
        <v>6.8440499600000004</v>
      </c>
      <c r="E94" s="3">
        <v>5.0323726510000002</v>
      </c>
      <c r="F94" s="3">
        <v>6.8970811039999997</v>
      </c>
      <c r="G94" s="3">
        <v>3.4076162459999999</v>
      </c>
      <c r="H94" s="3">
        <v>0.96415976599999997</v>
      </c>
      <c r="I94" s="3">
        <v>0.20699152200000001</v>
      </c>
      <c r="J94" s="3">
        <v>7.946430189</v>
      </c>
      <c r="K94" s="3">
        <v>4.9538759140000002</v>
      </c>
      <c r="L94" s="3">
        <v>43.725637489999997</v>
      </c>
      <c r="M94" s="3">
        <f t="shared" si="3"/>
        <v>20.098077304</v>
      </c>
      <c r="N94" s="3">
        <f>D94+G94+K94+E94</f>
        <v>20.237914771</v>
      </c>
      <c r="O94" s="3">
        <f t="shared" si="4"/>
        <v>52.843218966999999</v>
      </c>
      <c r="P94" s="3">
        <v>51.672067679999998</v>
      </c>
      <c r="Q94" s="3">
        <v>3.6146077669999999</v>
      </c>
      <c r="R94">
        <v>20.807499273333299</v>
      </c>
      <c r="S94">
        <v>26.618395656666699</v>
      </c>
      <c r="T94">
        <v>52.574105070000002</v>
      </c>
      <c r="U94">
        <v>46.967870976666703</v>
      </c>
      <c r="V94">
        <v>5.6062340926666696</v>
      </c>
    </row>
    <row r="95" spans="1:22">
      <c r="A95" t="s">
        <v>105</v>
      </c>
      <c r="B95" t="s">
        <v>63</v>
      </c>
      <c r="C95" s="3">
        <v>13.2139585</v>
      </c>
      <c r="D95" s="3">
        <v>5.9729112459999998</v>
      </c>
      <c r="E95" s="3">
        <v>5.0892362090000001</v>
      </c>
      <c r="F95" s="3">
        <v>7.0739079680000003</v>
      </c>
      <c r="G95" s="3">
        <v>3.592216954</v>
      </c>
      <c r="H95" s="3">
        <v>0.86451199000000001</v>
      </c>
      <c r="I95" s="3">
        <v>0.197576996</v>
      </c>
      <c r="J95" s="3">
        <v>5.9592400300000001</v>
      </c>
      <c r="K95" s="3">
        <v>5.1193229589999998</v>
      </c>
      <c r="L95" s="3">
        <v>45.157397400000001</v>
      </c>
      <c r="M95" s="3">
        <f t="shared" si="3"/>
        <v>20.287866468000001</v>
      </c>
      <c r="N95" s="3">
        <f>D95+G95+K95+E95</f>
        <v>19.773687368000001</v>
      </c>
      <c r="O95" s="3">
        <f t="shared" si="4"/>
        <v>52.178726416000003</v>
      </c>
      <c r="P95" s="3">
        <v>51.116637429999997</v>
      </c>
      <c r="Q95" s="3">
        <v>3.78979395</v>
      </c>
      <c r="R95">
        <v>19.0036953166667</v>
      </c>
      <c r="S95">
        <v>26.1987454</v>
      </c>
      <c r="T95">
        <v>54.797559280000002</v>
      </c>
      <c r="U95">
        <v>45.616237699999999</v>
      </c>
      <c r="V95">
        <v>9.1813215846666694</v>
      </c>
    </row>
    <row r="96" spans="1:22">
      <c r="A96" t="s">
        <v>106</v>
      </c>
      <c r="B96" t="s">
        <v>63</v>
      </c>
      <c r="C96" s="3">
        <v>13.2139585</v>
      </c>
      <c r="D96" s="3">
        <v>5.9729112459999998</v>
      </c>
      <c r="E96" s="3">
        <v>5.0892362090000001</v>
      </c>
      <c r="F96" s="3">
        <v>7.0739079680000003</v>
      </c>
      <c r="G96" s="3">
        <v>3.592216954</v>
      </c>
      <c r="H96" s="3">
        <v>0.86451199000000001</v>
      </c>
      <c r="I96" s="3">
        <v>0.197576996</v>
      </c>
      <c r="J96" s="3">
        <v>5.9592400300000001</v>
      </c>
      <c r="K96" s="3">
        <v>5.1193229589999998</v>
      </c>
      <c r="L96" s="3">
        <v>45.157397400000001</v>
      </c>
      <c r="M96" s="3">
        <f t="shared" si="3"/>
        <v>20.287866468000001</v>
      </c>
      <c r="N96" s="3">
        <f>D96+G96+K96+E96</f>
        <v>19.773687368000001</v>
      </c>
      <c r="O96" s="3">
        <f t="shared" si="4"/>
        <v>52.178726416000003</v>
      </c>
      <c r="P96" s="3">
        <v>51.116637429999997</v>
      </c>
      <c r="Q96" s="3">
        <v>3.78979395</v>
      </c>
      <c r="R96">
        <v>18.014819113333299</v>
      </c>
      <c r="S96">
        <v>32.674228453333299</v>
      </c>
      <c r="T96">
        <v>49.31095243</v>
      </c>
      <c r="U96">
        <v>38.343591789999998</v>
      </c>
      <c r="V96">
        <v>10.967360643333301</v>
      </c>
    </row>
    <row r="97" spans="1:22">
      <c r="A97" t="s">
        <v>107</v>
      </c>
      <c r="B97" t="s">
        <v>63</v>
      </c>
      <c r="C97" s="3">
        <v>13.2139585</v>
      </c>
      <c r="D97" s="3">
        <v>5.9729112459999998</v>
      </c>
      <c r="E97" s="3">
        <v>5.0892362090000001</v>
      </c>
      <c r="F97" s="3">
        <v>7.0739079680000003</v>
      </c>
      <c r="G97" s="3">
        <v>3.592216954</v>
      </c>
      <c r="H97" s="3">
        <v>0.86451199000000001</v>
      </c>
      <c r="I97" s="3">
        <v>0.197576996</v>
      </c>
      <c r="J97" s="3">
        <v>5.9592400300000001</v>
      </c>
      <c r="K97" s="3">
        <v>5.1193229589999998</v>
      </c>
      <c r="L97" s="3">
        <v>45.157397400000001</v>
      </c>
      <c r="M97" s="3">
        <f t="shared" si="3"/>
        <v>20.287866468000001</v>
      </c>
      <c r="N97" s="3">
        <f>D97+G97+K97+E97</f>
        <v>19.773687368000001</v>
      </c>
      <c r="O97" s="3">
        <f t="shared" si="4"/>
        <v>52.178726416000003</v>
      </c>
      <c r="P97" s="3">
        <v>51.116637429999997</v>
      </c>
      <c r="Q97" s="3">
        <v>3.78979395</v>
      </c>
      <c r="R97">
        <v>19.4823817066667</v>
      </c>
      <c r="S97">
        <v>30.876968113333302</v>
      </c>
      <c r="T97">
        <v>49.640650180000002</v>
      </c>
      <c r="U97">
        <v>39.196878003333303</v>
      </c>
      <c r="V97">
        <v>10.4437721786667</v>
      </c>
    </row>
    <row r="98" spans="1:22">
      <c r="A98" t="s">
        <v>108</v>
      </c>
      <c r="B98" t="s">
        <v>63</v>
      </c>
      <c r="C98" s="3">
        <v>13.628308199999999</v>
      </c>
      <c r="D98" s="3">
        <v>6.355256732</v>
      </c>
      <c r="E98" s="3">
        <v>4.8556300329999997</v>
      </c>
      <c r="F98" s="3">
        <v>6.3625561890000002</v>
      </c>
      <c r="G98" s="3">
        <v>3.087143169</v>
      </c>
      <c r="H98" s="3">
        <v>0.81328208999999996</v>
      </c>
      <c r="I98" s="3">
        <v>0.20065771499999999</v>
      </c>
      <c r="J98" s="3">
        <v>7.7230269030000001</v>
      </c>
      <c r="K98" s="3">
        <v>4.6478096009999996</v>
      </c>
      <c r="L98" s="3">
        <v>44.488868930000002</v>
      </c>
      <c r="M98" s="3">
        <f t="shared" si="3"/>
        <v>19.990864388999999</v>
      </c>
      <c r="N98" s="3">
        <f>D98+G98+K98+E98</f>
        <v>18.945839535000001</v>
      </c>
      <c r="O98" s="3">
        <f t="shared" si="4"/>
        <v>53.225835638000007</v>
      </c>
      <c r="P98" s="3">
        <v>52.211895830000003</v>
      </c>
      <c r="Q98" s="3">
        <v>3.2878008840000001</v>
      </c>
      <c r="R98">
        <v>20.163044776666698</v>
      </c>
      <c r="S98">
        <v>24.541886829999999</v>
      </c>
      <c r="T98">
        <v>55.295068393333302</v>
      </c>
      <c r="U98">
        <v>52.805891760000002</v>
      </c>
      <c r="V98">
        <v>2.4891766313333301</v>
      </c>
    </row>
    <row r="99" spans="1:22">
      <c r="A99" t="s">
        <v>109</v>
      </c>
      <c r="B99" t="s">
        <v>63</v>
      </c>
      <c r="C99" s="3">
        <v>13.628308199999999</v>
      </c>
      <c r="D99" s="3">
        <v>6.355256732</v>
      </c>
      <c r="E99" s="3">
        <v>4.8556300329999997</v>
      </c>
      <c r="F99" s="3">
        <v>6.3625561890000002</v>
      </c>
      <c r="G99" s="3">
        <v>3.087143169</v>
      </c>
      <c r="H99" s="3">
        <v>0.81328208999999996</v>
      </c>
      <c r="I99" s="3">
        <v>0.20065771499999999</v>
      </c>
      <c r="J99" s="3">
        <v>7.7230269030000001</v>
      </c>
      <c r="K99" s="3">
        <v>4.6478096009999996</v>
      </c>
      <c r="L99" s="3">
        <v>44.488868930000002</v>
      </c>
      <c r="M99" s="3">
        <f t="shared" si="3"/>
        <v>19.990864388999999</v>
      </c>
      <c r="N99" s="3">
        <f>D99+G99+K99+E99</f>
        <v>18.945839535000001</v>
      </c>
      <c r="O99" s="3">
        <f t="shared" si="4"/>
        <v>53.225835638000007</v>
      </c>
      <c r="P99" s="3">
        <v>52.211895830000003</v>
      </c>
      <c r="Q99" s="3">
        <v>3.2878008840000001</v>
      </c>
      <c r="R99">
        <v>17.6950458266667</v>
      </c>
      <c r="S99">
        <v>19.235227559999998</v>
      </c>
      <c r="T99">
        <v>63.069726619999997</v>
      </c>
      <c r="U99">
        <v>60.802893789999999</v>
      </c>
      <c r="V99">
        <v>2.26683282466667</v>
      </c>
    </row>
    <row r="100" spans="1:22">
      <c r="A100" t="s">
        <v>110</v>
      </c>
      <c r="B100" t="s">
        <v>63</v>
      </c>
      <c r="C100" s="3">
        <v>13.628308199999999</v>
      </c>
      <c r="D100" s="3">
        <v>6.355256732</v>
      </c>
      <c r="E100" s="3">
        <v>4.8556300329999997</v>
      </c>
      <c r="F100" s="3">
        <v>6.3625561890000002</v>
      </c>
      <c r="G100" s="3">
        <v>3.087143169</v>
      </c>
      <c r="H100" s="3">
        <v>0.81328208999999996</v>
      </c>
      <c r="I100" s="3">
        <v>0.20065771499999999</v>
      </c>
      <c r="J100" s="3">
        <v>7.7230269030000001</v>
      </c>
      <c r="K100" s="3">
        <v>4.6478096009999996</v>
      </c>
      <c r="L100" s="3">
        <v>44.488868930000002</v>
      </c>
      <c r="M100" s="3">
        <f t="shared" si="3"/>
        <v>19.990864388999999</v>
      </c>
      <c r="N100" s="3">
        <f>D100+G100+K100+E100</f>
        <v>18.945839535000001</v>
      </c>
      <c r="O100" s="3">
        <f t="shared" si="4"/>
        <v>53.225835638000007</v>
      </c>
      <c r="P100" s="3">
        <v>52.211895830000003</v>
      </c>
      <c r="Q100" s="3">
        <v>3.2878008840000001</v>
      </c>
      <c r="R100">
        <v>19.3237484333333</v>
      </c>
      <c r="S100">
        <v>21.976531373333302</v>
      </c>
      <c r="T100">
        <v>58.699720190000001</v>
      </c>
      <c r="U100">
        <v>55.911743700000002</v>
      </c>
      <c r="V100">
        <v>2.7879764900000001</v>
      </c>
    </row>
    <row r="101" spans="1:22">
      <c r="A101" t="s">
        <v>111</v>
      </c>
      <c r="B101" t="s">
        <v>63</v>
      </c>
      <c r="C101" s="3">
        <v>12.4109376</v>
      </c>
      <c r="D101" s="3">
        <v>4.755246369</v>
      </c>
      <c r="E101" s="3">
        <v>4.6281561299999998</v>
      </c>
      <c r="F101" s="3">
        <v>6.1095059420000002</v>
      </c>
      <c r="G101" s="3">
        <v>1.400836236</v>
      </c>
      <c r="H101" s="3">
        <v>0.88113866500000004</v>
      </c>
      <c r="I101" s="3">
        <v>1.579116594</v>
      </c>
      <c r="J101" s="3">
        <v>8.4760650949999992</v>
      </c>
      <c r="K101" s="3">
        <v>3.0312853720000001</v>
      </c>
      <c r="L101" s="3">
        <v>50.236236529999999</v>
      </c>
      <c r="M101" s="3">
        <f t="shared" si="3"/>
        <v>18.520443542000002</v>
      </c>
      <c r="N101" s="3">
        <f>D101+G101+K101+E101</f>
        <v>13.815524107000002</v>
      </c>
      <c r="O101" s="3">
        <f t="shared" si="4"/>
        <v>61.172556884000002</v>
      </c>
      <c r="P101" s="3">
        <v>58.712301619999998</v>
      </c>
      <c r="Q101" s="3">
        <v>2.9799528300000002</v>
      </c>
      <c r="R101">
        <v>19.577159330000001</v>
      </c>
      <c r="S101">
        <v>25.3115161833333</v>
      </c>
      <c r="T101">
        <v>55.111324486666703</v>
      </c>
      <c r="U101">
        <v>50.440223236666696</v>
      </c>
      <c r="V101">
        <v>4.6711012500000004</v>
      </c>
    </row>
    <row r="102" spans="1:22">
      <c r="A102" t="s">
        <v>112</v>
      </c>
      <c r="B102" t="s">
        <v>63</v>
      </c>
      <c r="C102" s="3">
        <v>12.4109376</v>
      </c>
      <c r="D102" s="3">
        <v>4.755246369</v>
      </c>
      <c r="E102" s="3">
        <v>4.6281561299999998</v>
      </c>
      <c r="F102" s="3">
        <v>6.1095059420000002</v>
      </c>
      <c r="G102" s="3">
        <v>1.400836236</v>
      </c>
      <c r="H102" s="3">
        <v>0.88113866500000004</v>
      </c>
      <c r="I102" s="3">
        <v>1.579116594</v>
      </c>
      <c r="J102" s="3">
        <v>8.4760650949999992</v>
      </c>
      <c r="K102" s="3">
        <v>3.0312853720000001</v>
      </c>
      <c r="L102" s="3">
        <v>50.236236529999999</v>
      </c>
      <c r="M102" s="3">
        <f t="shared" si="3"/>
        <v>18.520443542000002</v>
      </c>
      <c r="N102" s="3">
        <f>D102+G102+K102+E102</f>
        <v>13.815524107000002</v>
      </c>
      <c r="O102" s="3">
        <f t="shared" si="4"/>
        <v>61.172556884000002</v>
      </c>
      <c r="P102" s="3">
        <v>58.712301619999998</v>
      </c>
      <c r="Q102" s="3">
        <v>2.9799528300000002</v>
      </c>
      <c r="R102">
        <v>20.807398233333299</v>
      </c>
      <c r="S102">
        <v>23.991960729999999</v>
      </c>
      <c r="T102">
        <v>55.200641040000001</v>
      </c>
      <c r="U102">
        <v>51.0585544433333</v>
      </c>
      <c r="V102">
        <v>4.1420865946666696</v>
      </c>
    </row>
    <row r="103" spans="1:22">
      <c r="A103" t="s">
        <v>113</v>
      </c>
      <c r="B103" t="s">
        <v>63</v>
      </c>
      <c r="C103" s="3">
        <v>12.4109376</v>
      </c>
      <c r="D103" s="3">
        <v>4.755246369</v>
      </c>
      <c r="E103" s="3">
        <v>4.6281561299999998</v>
      </c>
      <c r="F103" s="3">
        <v>6.1095059420000002</v>
      </c>
      <c r="G103" s="3">
        <v>1.400836236</v>
      </c>
      <c r="H103" s="3">
        <v>0.88113866500000004</v>
      </c>
      <c r="I103" s="3">
        <v>1.579116594</v>
      </c>
      <c r="J103" s="3">
        <v>8.4760650949999992</v>
      </c>
      <c r="K103" s="3">
        <v>3.0312853720000001</v>
      </c>
      <c r="L103" s="3">
        <v>50.236236529999999</v>
      </c>
      <c r="M103" s="3">
        <f t="shared" si="3"/>
        <v>18.520443542000002</v>
      </c>
      <c r="N103" s="3">
        <f>D103+G103+K103+E103</f>
        <v>13.815524107000002</v>
      </c>
      <c r="O103" s="3">
        <f t="shared" si="4"/>
        <v>61.172556884000002</v>
      </c>
      <c r="P103" s="3">
        <v>58.712301619999998</v>
      </c>
      <c r="Q103" s="3">
        <v>2.9799528300000002</v>
      </c>
      <c r="R103">
        <v>18.0610525833333</v>
      </c>
      <c r="S103">
        <v>26.36568918</v>
      </c>
      <c r="T103">
        <v>55.573258236666703</v>
      </c>
      <c r="U103">
        <v>49.437853050000001</v>
      </c>
      <c r="V103">
        <v>6.13540518466667</v>
      </c>
    </row>
    <row r="104" spans="1:22">
      <c r="A104" t="s">
        <v>114</v>
      </c>
      <c r="B104" t="s">
        <v>63</v>
      </c>
      <c r="C104" s="3">
        <v>12.213217009999999</v>
      </c>
      <c r="D104" s="3">
        <v>6.0523628479999996</v>
      </c>
      <c r="E104" s="3">
        <v>4.4128853179999998</v>
      </c>
      <c r="F104" s="3">
        <v>6.9001037260000002</v>
      </c>
      <c r="G104" s="3">
        <v>2.6253399989999999</v>
      </c>
      <c r="H104" s="3">
        <v>0.67755538800000004</v>
      </c>
      <c r="I104" s="3">
        <v>1.2359940060000001</v>
      </c>
      <c r="J104" s="3">
        <v>10.345809429999999</v>
      </c>
      <c r="K104" s="3">
        <v>2.5548404320000002</v>
      </c>
      <c r="L104" s="3">
        <v>47.069140279999999</v>
      </c>
      <c r="M104" s="3">
        <f t="shared" si="3"/>
        <v>19.113320735999999</v>
      </c>
      <c r="N104" s="3">
        <f>D104+G104+K104+E104</f>
        <v>15.645428596999999</v>
      </c>
      <c r="O104" s="3">
        <f t="shared" si="4"/>
        <v>59.328499104000002</v>
      </c>
      <c r="P104" s="3">
        <v>57.414949720000003</v>
      </c>
      <c r="Q104" s="3">
        <v>3.8613340049999998</v>
      </c>
      <c r="R104">
        <v>20.341314310000001</v>
      </c>
      <c r="S104">
        <v>22.689256060000002</v>
      </c>
      <c r="T104">
        <v>56.969429626666702</v>
      </c>
      <c r="U104">
        <v>52.3332966633333</v>
      </c>
      <c r="V104">
        <v>4.6361329639999997</v>
      </c>
    </row>
    <row r="105" spans="1:22">
      <c r="A105" t="s">
        <v>115</v>
      </c>
      <c r="B105" t="s">
        <v>63</v>
      </c>
      <c r="C105" s="3">
        <v>12.213217009999999</v>
      </c>
      <c r="D105" s="3">
        <v>6.0523628479999996</v>
      </c>
      <c r="E105" s="3">
        <v>4.4128853179999998</v>
      </c>
      <c r="F105" s="3">
        <v>6.9001037260000002</v>
      </c>
      <c r="G105" s="3">
        <v>2.6253399989999999</v>
      </c>
      <c r="H105" s="3">
        <v>0.67755538800000004</v>
      </c>
      <c r="I105" s="3">
        <v>1.2359940060000001</v>
      </c>
      <c r="J105" s="3">
        <v>10.345809429999999</v>
      </c>
      <c r="K105" s="3">
        <v>2.5548404320000002</v>
      </c>
      <c r="L105" s="3">
        <v>47.069140279999999</v>
      </c>
      <c r="M105" s="3">
        <f t="shared" si="3"/>
        <v>19.113320735999999</v>
      </c>
      <c r="N105" s="3">
        <f>D105+G105+K105+E105</f>
        <v>15.645428596999999</v>
      </c>
      <c r="O105" s="3">
        <f t="shared" si="4"/>
        <v>59.328499104000002</v>
      </c>
      <c r="P105" s="3">
        <v>57.414949720000003</v>
      </c>
      <c r="Q105" s="3">
        <v>3.8613340049999998</v>
      </c>
      <c r="R105">
        <v>18.3625101466667</v>
      </c>
      <c r="S105">
        <v>21.0345139066667</v>
      </c>
      <c r="T105">
        <v>60.602975943333298</v>
      </c>
      <c r="U105">
        <v>55.783940333333298</v>
      </c>
      <c r="V105">
        <v>4.8190356126666698</v>
      </c>
    </row>
    <row r="106" spans="1:22">
      <c r="A106" t="s">
        <v>116</v>
      </c>
      <c r="B106" t="s">
        <v>63</v>
      </c>
      <c r="C106" s="3">
        <v>12.213217009999999</v>
      </c>
      <c r="D106" s="3">
        <v>6.0523628479999996</v>
      </c>
      <c r="E106" s="3">
        <v>4.4128853179999998</v>
      </c>
      <c r="F106" s="3">
        <v>6.9001037260000002</v>
      </c>
      <c r="G106" s="3">
        <v>2.6253399989999999</v>
      </c>
      <c r="H106" s="3">
        <v>0.67755538800000004</v>
      </c>
      <c r="I106" s="3">
        <v>1.2359940060000001</v>
      </c>
      <c r="J106" s="3">
        <v>10.345809429999999</v>
      </c>
      <c r="K106" s="3">
        <v>2.5548404320000002</v>
      </c>
      <c r="L106" s="3">
        <v>47.069140279999999</v>
      </c>
      <c r="M106" s="3">
        <f t="shared" si="3"/>
        <v>19.113320735999999</v>
      </c>
      <c r="N106" s="3">
        <f>D106+G106+K106+E106</f>
        <v>15.645428596999999</v>
      </c>
      <c r="O106" s="3">
        <f t="shared" si="4"/>
        <v>59.328499104000002</v>
      </c>
      <c r="P106" s="3">
        <v>57.414949720000003</v>
      </c>
      <c r="Q106" s="3">
        <v>3.8613340049999998</v>
      </c>
      <c r="R106">
        <v>18.6579506166667</v>
      </c>
      <c r="S106">
        <v>23.578421486666699</v>
      </c>
      <c r="T106">
        <v>57.763627896666698</v>
      </c>
      <c r="U106">
        <v>53.224525393333302</v>
      </c>
      <c r="V106">
        <v>4.5391025013333302</v>
      </c>
    </row>
    <row r="107" spans="1:22">
      <c r="A107" t="s">
        <v>117</v>
      </c>
      <c r="B107" t="s">
        <v>118</v>
      </c>
      <c r="C107" s="3">
        <v>11.09236308</v>
      </c>
      <c r="D107" s="3">
        <v>8.4326765609999992</v>
      </c>
      <c r="E107" s="3">
        <v>4.5691380009999998</v>
      </c>
      <c r="F107" s="3">
        <v>5.4818347010000004</v>
      </c>
      <c r="G107" s="3">
        <v>3.0696735309999998</v>
      </c>
      <c r="H107" s="3">
        <v>0.550463755</v>
      </c>
      <c r="I107" s="3">
        <v>0.24891491900000001</v>
      </c>
      <c r="J107" s="3">
        <v>11.46454146</v>
      </c>
      <c r="K107" s="3">
        <v>4.4155308880000002</v>
      </c>
      <c r="L107" s="3">
        <v>45.106073510000002</v>
      </c>
      <c r="M107" s="3">
        <f t="shared" si="3"/>
        <v>16.574197781000002</v>
      </c>
      <c r="N107" s="3">
        <f>D107+G107+K107+E107</f>
        <v>20.487018980999999</v>
      </c>
      <c r="O107" s="3">
        <f t="shared" si="4"/>
        <v>57.369993644000004</v>
      </c>
      <c r="P107" s="3">
        <v>56.570614970000001</v>
      </c>
      <c r="Q107" s="3">
        <v>3.3185884510000001</v>
      </c>
      <c r="R107">
        <v>18.530245666666701</v>
      </c>
      <c r="S107">
        <v>22.53365921</v>
      </c>
      <c r="T107">
        <v>58.936095119999997</v>
      </c>
      <c r="U107">
        <v>56.027596996666702</v>
      </c>
      <c r="V107">
        <v>2.9084981246666701</v>
      </c>
    </row>
    <row r="108" spans="1:22">
      <c r="A108" t="s">
        <v>119</v>
      </c>
      <c r="B108" t="s">
        <v>118</v>
      </c>
      <c r="C108" s="3">
        <v>11.09236308</v>
      </c>
      <c r="D108" s="3">
        <v>8.4326765609999992</v>
      </c>
      <c r="E108" s="3">
        <v>4.5691380009999998</v>
      </c>
      <c r="F108" s="3">
        <v>5.4818347010000004</v>
      </c>
      <c r="G108" s="3">
        <v>3.0696735309999998</v>
      </c>
      <c r="H108" s="3">
        <v>0.550463755</v>
      </c>
      <c r="I108" s="3">
        <v>0.24891491900000001</v>
      </c>
      <c r="J108" s="3">
        <v>11.46454146</v>
      </c>
      <c r="K108" s="3">
        <v>4.4155308880000002</v>
      </c>
      <c r="L108" s="3">
        <v>45.106073510000002</v>
      </c>
      <c r="M108" s="3">
        <f t="shared" si="3"/>
        <v>16.574197781000002</v>
      </c>
      <c r="N108" s="3">
        <f>D108+G108+K108+E108</f>
        <v>20.487018980999999</v>
      </c>
      <c r="O108" s="3">
        <f t="shared" si="4"/>
        <v>57.369993644000004</v>
      </c>
      <c r="P108" s="3">
        <v>56.570614970000001</v>
      </c>
      <c r="Q108" s="3">
        <v>3.3185884510000001</v>
      </c>
      <c r="R108">
        <v>18.718012196666699</v>
      </c>
      <c r="S108">
        <v>19.8550561266667</v>
      </c>
      <c r="T108">
        <v>61.426931676666698</v>
      </c>
      <c r="U108">
        <v>58.391148656666701</v>
      </c>
      <c r="V108">
        <v>3.0357830216666701</v>
      </c>
    </row>
    <row r="109" spans="1:22">
      <c r="A109" t="s">
        <v>120</v>
      </c>
      <c r="B109" t="s">
        <v>118</v>
      </c>
      <c r="C109" s="3">
        <v>11.09236308</v>
      </c>
      <c r="D109" s="3">
        <v>8.4326765609999992</v>
      </c>
      <c r="E109" s="3">
        <v>4.5691380009999998</v>
      </c>
      <c r="F109" s="3">
        <v>5.4818347010000004</v>
      </c>
      <c r="G109" s="3">
        <v>3.0696735309999998</v>
      </c>
      <c r="H109" s="3">
        <v>0.550463755</v>
      </c>
      <c r="I109" s="3">
        <v>0.24891491900000001</v>
      </c>
      <c r="J109" s="3">
        <v>11.46454146</v>
      </c>
      <c r="K109" s="3">
        <v>4.4155308880000002</v>
      </c>
      <c r="L109" s="3">
        <v>45.106073510000002</v>
      </c>
      <c r="M109" s="3">
        <f t="shared" si="3"/>
        <v>16.574197781000002</v>
      </c>
      <c r="N109" s="3">
        <f>D109+G109+K109+E109</f>
        <v>20.487018980999999</v>
      </c>
      <c r="O109" s="3">
        <f t="shared" si="4"/>
        <v>57.369993644000004</v>
      </c>
      <c r="P109" s="3">
        <v>56.570614970000001</v>
      </c>
      <c r="Q109" s="3">
        <v>3.3185884510000001</v>
      </c>
      <c r="R109">
        <v>18.322951686666698</v>
      </c>
      <c r="S109">
        <v>25.9024063666667</v>
      </c>
      <c r="T109">
        <v>55.7746419433333</v>
      </c>
      <c r="U109">
        <v>52.145518636666701</v>
      </c>
      <c r="V109">
        <v>3.6291233056666701</v>
      </c>
    </row>
    <row r="110" spans="1:22">
      <c r="A110" t="s">
        <v>121</v>
      </c>
      <c r="B110" t="s">
        <v>118</v>
      </c>
      <c r="C110" s="3">
        <v>13.133349470000001</v>
      </c>
      <c r="D110" s="3">
        <v>10.912834330000001</v>
      </c>
      <c r="E110" s="3">
        <v>5.2348073519999998</v>
      </c>
      <c r="F110" s="3">
        <v>7.6987506249999997</v>
      </c>
      <c r="G110" s="3">
        <v>3.6240994199999998</v>
      </c>
      <c r="H110" s="3">
        <v>0.79721096800000002</v>
      </c>
      <c r="I110" s="3">
        <v>0.20627483899999999</v>
      </c>
      <c r="J110" s="3">
        <v>9.7403600669999992</v>
      </c>
      <c r="K110" s="3">
        <v>4.0038154769999998</v>
      </c>
      <c r="L110" s="3">
        <v>38.229462400000003</v>
      </c>
      <c r="M110" s="3">
        <f t="shared" si="3"/>
        <v>20.832100095000001</v>
      </c>
      <c r="N110" s="3">
        <f>D110+G110+K110+E110</f>
        <v>23.775556579</v>
      </c>
      <c r="O110" s="3">
        <f t="shared" si="4"/>
        <v>48.973308274000004</v>
      </c>
      <c r="P110" s="3">
        <v>47.969822469999997</v>
      </c>
      <c r="Q110" s="3">
        <v>3.8303742590000001</v>
      </c>
      <c r="R110">
        <v>18.730951040000001</v>
      </c>
      <c r="S110">
        <v>25.411148879999999</v>
      </c>
      <c r="T110">
        <v>55.857900083333298</v>
      </c>
      <c r="U110">
        <v>52.038599056666698</v>
      </c>
      <c r="V110">
        <v>3.81930102633333</v>
      </c>
    </row>
    <row r="111" spans="1:22">
      <c r="A111" t="s">
        <v>122</v>
      </c>
      <c r="B111" t="s">
        <v>118</v>
      </c>
      <c r="C111" s="3">
        <v>13.133349470000001</v>
      </c>
      <c r="D111" s="3">
        <v>10.912834330000001</v>
      </c>
      <c r="E111" s="3">
        <v>5.2348073519999998</v>
      </c>
      <c r="F111" s="3">
        <v>7.6987506249999997</v>
      </c>
      <c r="G111" s="3">
        <v>3.6240994199999998</v>
      </c>
      <c r="H111" s="3">
        <v>0.79721096800000002</v>
      </c>
      <c r="I111" s="3">
        <v>0.20627483899999999</v>
      </c>
      <c r="J111" s="3">
        <v>9.7403600669999992</v>
      </c>
      <c r="K111" s="3">
        <v>4.0038154769999998</v>
      </c>
      <c r="L111" s="3">
        <v>38.229462400000003</v>
      </c>
      <c r="M111" s="3">
        <f t="shared" si="3"/>
        <v>20.832100095000001</v>
      </c>
      <c r="N111" s="3">
        <f>D111+G111+K111+E111</f>
        <v>23.775556579</v>
      </c>
      <c r="O111" s="3">
        <f t="shared" si="4"/>
        <v>48.973308274000004</v>
      </c>
      <c r="P111" s="3">
        <v>47.969822469999997</v>
      </c>
      <c r="Q111" s="3">
        <v>3.8303742590000001</v>
      </c>
      <c r="R111">
        <v>16.750594029999998</v>
      </c>
      <c r="S111">
        <v>23.7639867166667</v>
      </c>
      <c r="T111">
        <v>59.485419253333298</v>
      </c>
      <c r="U111">
        <v>56.262507663333302</v>
      </c>
      <c r="V111">
        <v>3.2229115899999998</v>
      </c>
    </row>
    <row r="112" spans="1:22">
      <c r="A112" t="s">
        <v>123</v>
      </c>
      <c r="B112" t="s">
        <v>118</v>
      </c>
      <c r="C112" s="3">
        <v>13.133349470000001</v>
      </c>
      <c r="D112" s="3">
        <v>10.912834330000001</v>
      </c>
      <c r="E112" s="3">
        <v>5.2348073519999998</v>
      </c>
      <c r="F112" s="3">
        <v>7.6987506249999997</v>
      </c>
      <c r="G112" s="3">
        <v>3.6240994199999998</v>
      </c>
      <c r="H112" s="3">
        <v>0.79721096800000002</v>
      </c>
      <c r="I112" s="3">
        <v>0.20627483899999999</v>
      </c>
      <c r="J112" s="3">
        <v>9.7403600669999992</v>
      </c>
      <c r="K112" s="3">
        <v>4.0038154769999998</v>
      </c>
      <c r="L112" s="3">
        <v>38.229462400000003</v>
      </c>
      <c r="M112" s="3">
        <f t="shared" si="3"/>
        <v>20.832100095000001</v>
      </c>
      <c r="N112" s="3">
        <f>D112+G112+K112+E112</f>
        <v>23.775556579</v>
      </c>
      <c r="O112" s="3">
        <f t="shared" si="4"/>
        <v>48.973308274000004</v>
      </c>
      <c r="P112" s="3">
        <v>47.969822469999997</v>
      </c>
      <c r="Q112" s="3">
        <v>3.8303742590000001</v>
      </c>
      <c r="R112">
        <v>17.932937856666701</v>
      </c>
      <c r="S112">
        <v>20.947642113333298</v>
      </c>
      <c r="T112">
        <v>61.119420033333299</v>
      </c>
      <c r="U112">
        <v>57.925784036666698</v>
      </c>
      <c r="V112">
        <v>3.1936359973333301</v>
      </c>
    </row>
    <row r="113" spans="1:22">
      <c r="A113" t="s">
        <v>124</v>
      </c>
      <c r="B113" t="s">
        <v>118</v>
      </c>
      <c r="C113" s="3">
        <v>12.36056834</v>
      </c>
      <c r="D113" s="3">
        <v>10.40092473</v>
      </c>
      <c r="E113" s="3">
        <v>5.1792398430000004</v>
      </c>
      <c r="F113" s="3">
        <v>9.1829943170000004</v>
      </c>
      <c r="G113" s="3">
        <v>3.7274806690000002</v>
      </c>
      <c r="H113" s="3">
        <v>1.1807162419999999</v>
      </c>
      <c r="I113" s="3">
        <v>0.19703210700000001</v>
      </c>
      <c r="J113" s="3">
        <v>8.9195608770000003</v>
      </c>
      <c r="K113" s="3">
        <v>4.4019245769999999</v>
      </c>
      <c r="L113" s="3">
        <v>35.810258279999999</v>
      </c>
      <c r="M113" s="3">
        <f t="shared" si="3"/>
        <v>21.543562657000003</v>
      </c>
      <c r="N113" s="3">
        <f>D113+G113+K113+E113</f>
        <v>23.709569819000002</v>
      </c>
      <c r="O113" s="3">
        <f t="shared" si="4"/>
        <v>46.107567505999995</v>
      </c>
      <c r="P113" s="3">
        <v>44.729819149999997</v>
      </c>
      <c r="Q113" s="3">
        <v>3.9245127759999998</v>
      </c>
      <c r="R113">
        <v>17.377709150000001</v>
      </c>
      <c r="S113">
        <v>26.585085313333298</v>
      </c>
      <c r="T113">
        <v>56.037205540000002</v>
      </c>
      <c r="U113">
        <v>52.289831650000004</v>
      </c>
      <c r="V113">
        <v>3.74737388733333</v>
      </c>
    </row>
    <row r="114" spans="1:22">
      <c r="A114" t="s">
        <v>125</v>
      </c>
      <c r="B114" t="s">
        <v>118</v>
      </c>
      <c r="C114" s="3">
        <v>12.36056834</v>
      </c>
      <c r="D114" s="3">
        <v>10.40092473</v>
      </c>
      <c r="E114" s="3">
        <v>5.1792398430000004</v>
      </c>
      <c r="F114" s="3">
        <v>9.1829943170000004</v>
      </c>
      <c r="G114" s="3">
        <v>3.7274806690000002</v>
      </c>
      <c r="H114" s="3">
        <v>1.1807162419999999</v>
      </c>
      <c r="I114" s="3">
        <v>0.19703210700000001</v>
      </c>
      <c r="J114" s="3">
        <v>8.9195608770000003</v>
      </c>
      <c r="K114" s="3">
        <v>4.4019245769999999</v>
      </c>
      <c r="L114" s="3">
        <v>35.810258279999999</v>
      </c>
      <c r="M114" s="3">
        <f t="shared" si="3"/>
        <v>21.543562657000003</v>
      </c>
      <c r="N114" s="3">
        <f>D114+G114+K114+E114</f>
        <v>23.709569819000002</v>
      </c>
      <c r="O114" s="3">
        <f t="shared" si="4"/>
        <v>46.107567505999995</v>
      </c>
      <c r="P114" s="3">
        <v>44.729819149999997</v>
      </c>
      <c r="Q114" s="3">
        <v>3.9245127759999998</v>
      </c>
      <c r="R114">
        <v>18.078295843333301</v>
      </c>
      <c r="S114">
        <v>24.151859649999999</v>
      </c>
      <c r="T114">
        <v>57.769844506666701</v>
      </c>
      <c r="U114">
        <v>54.781173776666698</v>
      </c>
      <c r="V114">
        <v>2.9886707273333299</v>
      </c>
    </row>
    <row r="115" spans="1:22">
      <c r="A115" t="s">
        <v>126</v>
      </c>
      <c r="B115" t="s">
        <v>118</v>
      </c>
      <c r="C115" s="3">
        <v>12.36056834</v>
      </c>
      <c r="D115" s="3">
        <v>10.40092473</v>
      </c>
      <c r="E115" s="3">
        <v>5.1792398430000004</v>
      </c>
      <c r="F115" s="3">
        <v>9.1829943170000004</v>
      </c>
      <c r="G115" s="3">
        <v>3.7274806690000002</v>
      </c>
      <c r="H115" s="3">
        <v>1.1807162419999999</v>
      </c>
      <c r="I115" s="3">
        <v>0.19703210700000001</v>
      </c>
      <c r="J115" s="3">
        <v>8.9195608770000003</v>
      </c>
      <c r="K115" s="3">
        <v>4.4019245769999999</v>
      </c>
      <c r="L115" s="3">
        <v>35.810258279999999</v>
      </c>
      <c r="M115" s="3">
        <f t="shared" si="3"/>
        <v>21.543562657000003</v>
      </c>
      <c r="N115" s="3">
        <f>D115+G115+K115+E115</f>
        <v>23.709569819000002</v>
      </c>
      <c r="O115" s="3">
        <f t="shared" si="4"/>
        <v>46.107567505999995</v>
      </c>
      <c r="P115" s="3">
        <v>44.729819149999997</v>
      </c>
      <c r="Q115" s="3">
        <v>3.9245127759999998</v>
      </c>
      <c r="R115">
        <v>19.952206993333299</v>
      </c>
      <c r="S115">
        <v>23.13566565</v>
      </c>
      <c r="T115">
        <v>56.912127356666701</v>
      </c>
      <c r="U115">
        <v>54.14558787</v>
      </c>
      <c r="V115">
        <v>2.7665394889999999</v>
      </c>
    </row>
    <row r="116" spans="1:22">
      <c r="A116" t="s">
        <v>127</v>
      </c>
      <c r="B116" t="s">
        <v>118</v>
      </c>
      <c r="C116" s="3">
        <v>12.24221871</v>
      </c>
      <c r="D116" s="3">
        <v>12.73814005</v>
      </c>
      <c r="E116" s="3">
        <v>4.6540567040000003</v>
      </c>
      <c r="F116" s="3">
        <v>8.7080754000000002</v>
      </c>
      <c r="G116" s="3">
        <v>2.1749603409999998</v>
      </c>
      <c r="H116" s="3">
        <v>0.79135786399999997</v>
      </c>
      <c r="I116" s="3">
        <v>0.22697563500000001</v>
      </c>
      <c r="J116" s="3">
        <v>15.701018339999999</v>
      </c>
      <c r="K116" s="3">
        <v>3.6979635979999999</v>
      </c>
      <c r="L116" s="3">
        <v>32.785597359999997</v>
      </c>
      <c r="M116" s="3">
        <f t="shared" si="3"/>
        <v>20.950294110000002</v>
      </c>
      <c r="N116" s="3">
        <f>D116+G116+K116+E116</f>
        <v>23.265120693</v>
      </c>
      <c r="O116" s="3">
        <f t="shared" si="4"/>
        <v>49.504949198999995</v>
      </c>
      <c r="P116" s="3">
        <v>48.486615700000002</v>
      </c>
      <c r="Q116" s="3">
        <v>2.4019359759999999</v>
      </c>
      <c r="R116">
        <v>19.097605890000001</v>
      </c>
      <c r="S116">
        <v>23.95687285</v>
      </c>
      <c r="T116">
        <v>56.94552126</v>
      </c>
      <c r="U116">
        <v>53.610957730000003</v>
      </c>
      <c r="V116">
        <v>3.3345635320000002</v>
      </c>
    </row>
    <row r="117" spans="1:22">
      <c r="A117" t="s">
        <v>128</v>
      </c>
      <c r="B117" t="s">
        <v>118</v>
      </c>
      <c r="C117" s="3">
        <v>12.24221871</v>
      </c>
      <c r="D117" s="3">
        <v>12.73814005</v>
      </c>
      <c r="E117" s="3">
        <v>4.6540567040000003</v>
      </c>
      <c r="F117" s="3">
        <v>8.7080754000000002</v>
      </c>
      <c r="G117" s="3">
        <v>2.1749603409999998</v>
      </c>
      <c r="H117" s="3">
        <v>0.79135786399999997</v>
      </c>
      <c r="I117" s="3">
        <v>0.22697563500000001</v>
      </c>
      <c r="J117" s="3">
        <v>15.701018339999999</v>
      </c>
      <c r="K117" s="3">
        <v>3.6979635979999999</v>
      </c>
      <c r="L117" s="3">
        <v>32.785597359999997</v>
      </c>
      <c r="M117" s="3">
        <f t="shared" si="3"/>
        <v>20.950294110000002</v>
      </c>
      <c r="N117" s="3">
        <f>D117+G117+K117+E117</f>
        <v>23.265120693</v>
      </c>
      <c r="O117" s="3">
        <f t="shared" si="4"/>
        <v>49.504949198999995</v>
      </c>
      <c r="P117" s="3">
        <v>48.486615700000002</v>
      </c>
      <c r="Q117" s="3">
        <v>2.4019359759999999</v>
      </c>
      <c r="R117">
        <v>18.797215496666698</v>
      </c>
      <c r="S117">
        <v>24.7701322433333</v>
      </c>
      <c r="T117">
        <v>56.432652256666699</v>
      </c>
      <c r="U117">
        <v>52.539154426666698</v>
      </c>
      <c r="V117">
        <v>3.8934978253333301</v>
      </c>
    </row>
    <row r="118" spans="1:22">
      <c r="A118" t="s">
        <v>129</v>
      </c>
      <c r="B118" t="s">
        <v>118</v>
      </c>
      <c r="C118" s="3">
        <v>12.24221871</v>
      </c>
      <c r="D118" s="3">
        <v>12.73814005</v>
      </c>
      <c r="E118" s="3">
        <v>4.6540567040000003</v>
      </c>
      <c r="F118" s="3">
        <v>8.7080754000000002</v>
      </c>
      <c r="G118" s="3">
        <v>2.1749603409999998</v>
      </c>
      <c r="H118" s="3">
        <v>0.79135786399999997</v>
      </c>
      <c r="I118" s="3">
        <v>0.22697563500000001</v>
      </c>
      <c r="J118" s="3">
        <v>15.701018339999999</v>
      </c>
      <c r="K118" s="3">
        <v>3.6979635979999999</v>
      </c>
      <c r="L118" s="3">
        <v>32.785597359999997</v>
      </c>
      <c r="M118" s="3">
        <f t="shared" si="3"/>
        <v>20.950294110000002</v>
      </c>
      <c r="N118" s="3">
        <f>D118+G118+K118+E118</f>
        <v>23.265120693</v>
      </c>
      <c r="O118" s="3">
        <f t="shared" si="4"/>
        <v>49.504949198999995</v>
      </c>
      <c r="P118" s="3">
        <v>48.486615700000002</v>
      </c>
      <c r="Q118" s="3">
        <v>2.4019359759999999</v>
      </c>
      <c r="R118">
        <v>18.5312743733333</v>
      </c>
      <c r="S118">
        <v>24.047614169999999</v>
      </c>
      <c r="T118">
        <v>57.421111459999999</v>
      </c>
      <c r="U118">
        <v>53.444818386666697</v>
      </c>
      <c r="V118">
        <v>3.9762930726666701</v>
      </c>
    </row>
    <row r="119" spans="1:22">
      <c r="A119" t="s">
        <v>130</v>
      </c>
      <c r="B119" t="s">
        <v>118</v>
      </c>
      <c r="C119" s="3">
        <v>13.63001955</v>
      </c>
      <c r="D119" s="3">
        <v>13.35423173</v>
      </c>
      <c r="E119" s="3">
        <v>4.7860603910000004</v>
      </c>
      <c r="F119" s="3">
        <v>7.2800094040000003</v>
      </c>
      <c r="G119" s="3">
        <v>2.0809977590000002</v>
      </c>
      <c r="H119" s="3">
        <v>0.64654422700000003</v>
      </c>
      <c r="I119" s="3">
        <v>0.18780390899999999</v>
      </c>
      <c r="J119" s="3">
        <v>18.27414619</v>
      </c>
      <c r="K119" s="3">
        <v>3.2212882559999998</v>
      </c>
      <c r="L119" s="3">
        <v>31.276677060000001</v>
      </c>
      <c r="M119" s="3">
        <f t="shared" si="3"/>
        <v>20.910028954000001</v>
      </c>
      <c r="N119" s="3">
        <f>D119+G119+K119+E119</f>
        <v>23.442578136000002</v>
      </c>
      <c r="O119" s="3">
        <f t="shared" si="4"/>
        <v>50.385171385999996</v>
      </c>
      <c r="P119" s="3">
        <v>49.550823250000001</v>
      </c>
      <c r="Q119" s="3">
        <v>2.268801668</v>
      </c>
      <c r="R119">
        <v>17.984830956666698</v>
      </c>
      <c r="S119">
        <v>24.458394070000001</v>
      </c>
      <c r="T119">
        <v>57.556774973333297</v>
      </c>
      <c r="U119">
        <v>54.705826340000002</v>
      </c>
      <c r="V119">
        <v>2.8509486376666699</v>
      </c>
    </row>
    <row r="120" spans="1:22">
      <c r="A120" t="s">
        <v>131</v>
      </c>
      <c r="B120" t="s">
        <v>118</v>
      </c>
      <c r="C120" s="3">
        <v>13.63001955</v>
      </c>
      <c r="D120" s="3">
        <v>13.35423173</v>
      </c>
      <c r="E120" s="3">
        <v>4.7860603910000004</v>
      </c>
      <c r="F120" s="3">
        <v>7.2800094040000003</v>
      </c>
      <c r="G120" s="3">
        <v>2.0809977590000002</v>
      </c>
      <c r="H120" s="3">
        <v>0.64654422700000003</v>
      </c>
      <c r="I120" s="3">
        <v>0.18780390899999999</v>
      </c>
      <c r="J120" s="3">
        <v>18.27414619</v>
      </c>
      <c r="K120" s="3">
        <v>3.2212882559999998</v>
      </c>
      <c r="L120" s="3">
        <v>31.276677060000001</v>
      </c>
      <c r="M120" s="3">
        <f t="shared" si="3"/>
        <v>20.910028954000001</v>
      </c>
      <c r="N120" s="3">
        <f>D120+G120+K120+E120</f>
        <v>23.442578136000002</v>
      </c>
      <c r="O120" s="3">
        <f t="shared" si="4"/>
        <v>50.385171385999996</v>
      </c>
      <c r="P120" s="3">
        <v>49.550823250000001</v>
      </c>
      <c r="Q120" s="3">
        <v>2.268801668</v>
      </c>
      <c r="R120">
        <v>17.928956006666699</v>
      </c>
      <c r="S120">
        <v>24.098545529999999</v>
      </c>
      <c r="T120">
        <v>57.972498463333302</v>
      </c>
      <c r="U120">
        <v>55.711999823333301</v>
      </c>
      <c r="V120">
        <v>2.2604986433333298</v>
      </c>
    </row>
    <row r="121" spans="1:22">
      <c r="A121" t="s">
        <v>132</v>
      </c>
      <c r="B121" t="s">
        <v>118</v>
      </c>
      <c r="C121" s="3">
        <v>13.63001955</v>
      </c>
      <c r="D121" s="3">
        <v>13.35423173</v>
      </c>
      <c r="E121" s="3">
        <v>4.7860603910000004</v>
      </c>
      <c r="F121" s="3">
        <v>7.2800094040000003</v>
      </c>
      <c r="G121" s="3">
        <v>2.0809977590000002</v>
      </c>
      <c r="H121" s="3">
        <v>0.64654422700000003</v>
      </c>
      <c r="I121" s="3">
        <v>0.18780390899999999</v>
      </c>
      <c r="J121" s="3">
        <v>18.27414619</v>
      </c>
      <c r="K121" s="3">
        <v>3.2212882559999998</v>
      </c>
      <c r="L121" s="3">
        <v>31.276677060000001</v>
      </c>
      <c r="M121" s="3">
        <f t="shared" si="3"/>
        <v>20.910028954000001</v>
      </c>
      <c r="N121" s="3">
        <f>D121+G121+K121+E121</f>
        <v>23.442578136000002</v>
      </c>
      <c r="O121" s="3">
        <f t="shared" si="4"/>
        <v>50.385171385999996</v>
      </c>
      <c r="P121" s="3">
        <v>49.550823250000001</v>
      </c>
      <c r="Q121" s="3">
        <v>2.268801668</v>
      </c>
      <c r="R121">
        <v>17.902614476666699</v>
      </c>
      <c r="S121">
        <v>25.6679543533333</v>
      </c>
      <c r="T121">
        <v>56.429431166666703</v>
      </c>
      <c r="U121">
        <v>54.803545763333297</v>
      </c>
      <c r="V121">
        <v>1.6258853986666699</v>
      </c>
    </row>
    <row r="122" spans="1:22">
      <c r="A122" t="s">
        <v>133</v>
      </c>
      <c r="B122" t="s">
        <v>118</v>
      </c>
      <c r="C122" s="3">
        <v>12.17567895</v>
      </c>
      <c r="D122" s="3">
        <v>13.70974799</v>
      </c>
      <c r="E122" s="3">
        <v>5.2056287289999998</v>
      </c>
      <c r="F122" s="3">
        <v>8.5344781879999996</v>
      </c>
      <c r="G122" s="3">
        <v>0.98668758499999998</v>
      </c>
      <c r="H122" s="3">
        <v>1.129485531</v>
      </c>
      <c r="I122" s="3">
        <v>0.25298150000000003</v>
      </c>
      <c r="J122" s="3">
        <v>18.293197289999998</v>
      </c>
      <c r="K122" s="3">
        <v>3.871537725</v>
      </c>
      <c r="L122" s="3">
        <v>28.888942879999998</v>
      </c>
      <c r="M122" s="3">
        <f t="shared" si="3"/>
        <v>20.710157138</v>
      </c>
      <c r="N122" s="3">
        <f>D122+G122+K122+E122</f>
        <v>23.773602029000003</v>
      </c>
      <c r="O122" s="3">
        <f t="shared" si="4"/>
        <v>48.564607201000001</v>
      </c>
      <c r="P122" s="3">
        <v>47.182140169999997</v>
      </c>
      <c r="Q122" s="3">
        <v>0.91077322299999997</v>
      </c>
      <c r="R122">
        <v>18.0580202933333</v>
      </c>
      <c r="S122">
        <v>22.779125893333301</v>
      </c>
      <c r="T122">
        <v>59.1628538133333</v>
      </c>
      <c r="U122">
        <v>57.520251546666699</v>
      </c>
      <c r="V122">
        <v>1.6426022650000001</v>
      </c>
    </row>
    <row r="123" spans="1:22">
      <c r="A123" t="s">
        <v>134</v>
      </c>
      <c r="B123" t="s">
        <v>118</v>
      </c>
      <c r="C123" s="3">
        <v>12.17567895</v>
      </c>
      <c r="D123" s="3">
        <v>13.70974799</v>
      </c>
      <c r="E123" s="3">
        <v>5.2056287289999998</v>
      </c>
      <c r="F123" s="3">
        <v>8.5344781879999996</v>
      </c>
      <c r="G123" s="3">
        <v>0.98668758499999998</v>
      </c>
      <c r="H123" s="3">
        <v>1.129485531</v>
      </c>
      <c r="I123" s="3">
        <v>0.25298150000000003</v>
      </c>
      <c r="J123" s="3">
        <v>18.293197289999998</v>
      </c>
      <c r="K123" s="3">
        <v>3.871537725</v>
      </c>
      <c r="L123" s="3">
        <v>28.888942879999998</v>
      </c>
      <c r="M123" s="3">
        <f t="shared" si="3"/>
        <v>20.710157138</v>
      </c>
      <c r="N123" s="3">
        <f>D123+G123+K123+E123</f>
        <v>23.773602029000003</v>
      </c>
      <c r="O123" s="3">
        <f t="shared" si="4"/>
        <v>48.564607201000001</v>
      </c>
      <c r="P123" s="3">
        <v>47.182140169999997</v>
      </c>
      <c r="Q123" s="3">
        <v>0.91077322299999997</v>
      </c>
      <c r="R123">
        <v>16.089531350000001</v>
      </c>
      <c r="S123">
        <v>18.540567183333302</v>
      </c>
      <c r="T123">
        <v>65.369901466666704</v>
      </c>
      <c r="U123">
        <v>63.995868010000002</v>
      </c>
      <c r="V123">
        <v>1.374033455</v>
      </c>
    </row>
    <row r="124" spans="1:22">
      <c r="A124" t="s">
        <v>135</v>
      </c>
      <c r="B124" t="s">
        <v>118</v>
      </c>
      <c r="C124" s="3">
        <v>12.17567895</v>
      </c>
      <c r="D124" s="3">
        <v>13.70974799</v>
      </c>
      <c r="E124" s="3">
        <v>5.2056287289999998</v>
      </c>
      <c r="F124" s="3">
        <v>8.5344781879999996</v>
      </c>
      <c r="G124" s="3">
        <v>0.98668758499999998</v>
      </c>
      <c r="H124" s="3">
        <v>1.129485531</v>
      </c>
      <c r="I124" s="3">
        <v>0.25298150000000003</v>
      </c>
      <c r="J124" s="3">
        <v>18.293197289999998</v>
      </c>
      <c r="K124" s="3">
        <v>3.871537725</v>
      </c>
      <c r="L124" s="3">
        <v>28.888942879999998</v>
      </c>
      <c r="M124" s="3">
        <f t="shared" si="3"/>
        <v>20.710157138</v>
      </c>
      <c r="N124" s="3">
        <f>D124+G124+K124+E124</f>
        <v>23.773602029000003</v>
      </c>
      <c r="O124" s="3">
        <f t="shared" si="4"/>
        <v>48.564607201000001</v>
      </c>
      <c r="P124" s="3">
        <v>47.182140169999997</v>
      </c>
      <c r="Q124" s="3">
        <v>0.91077322299999997</v>
      </c>
      <c r="R124">
        <v>17.100259879999999</v>
      </c>
      <c r="S124">
        <v>16.6090308833333</v>
      </c>
      <c r="T124">
        <v>66.290709243333296</v>
      </c>
      <c r="U124">
        <v>64.707121513333306</v>
      </c>
      <c r="V124">
        <v>1.5835877270000001</v>
      </c>
    </row>
    <row r="125" spans="1:22">
      <c r="A125" t="s">
        <v>136</v>
      </c>
      <c r="B125" t="s">
        <v>118</v>
      </c>
      <c r="C125" s="3">
        <v>11.55408222</v>
      </c>
      <c r="D125" s="3">
        <v>9.1323470029999996</v>
      </c>
      <c r="E125" s="3">
        <v>4.3587406230000001</v>
      </c>
      <c r="F125" s="3">
        <v>6.906739677</v>
      </c>
      <c r="G125" s="3">
        <v>1.1758123069999999</v>
      </c>
      <c r="H125" s="3">
        <v>0.64013023300000005</v>
      </c>
      <c r="I125" s="3">
        <v>0.28228268200000001</v>
      </c>
      <c r="J125" s="3">
        <v>20.179571459999998</v>
      </c>
      <c r="K125" s="3">
        <v>3.83340996</v>
      </c>
      <c r="L125" s="3">
        <v>36.316409419999999</v>
      </c>
      <c r="M125" s="3">
        <f t="shared" si="3"/>
        <v>18.460821896999999</v>
      </c>
      <c r="N125" s="3">
        <f>D125+G125+K125+E125</f>
        <v>18.500309892999997</v>
      </c>
      <c r="O125" s="3">
        <f t="shared" si="4"/>
        <v>57.418393795</v>
      </c>
      <c r="P125" s="3">
        <v>56.495980869999997</v>
      </c>
      <c r="Q125" s="3">
        <v>1.458094988</v>
      </c>
      <c r="R125">
        <v>16.336343603333301</v>
      </c>
      <c r="S125">
        <v>19.513083453333302</v>
      </c>
      <c r="T125">
        <v>64.150572943333302</v>
      </c>
      <c r="U125">
        <v>62.867215803333302</v>
      </c>
      <c r="V125">
        <v>1.2833571399999999</v>
      </c>
    </row>
    <row r="126" spans="1:22">
      <c r="A126" t="s">
        <v>137</v>
      </c>
      <c r="B126" t="s">
        <v>118</v>
      </c>
      <c r="C126" s="3">
        <v>11.55408222</v>
      </c>
      <c r="D126" s="3">
        <v>9.1323470029999996</v>
      </c>
      <c r="E126" s="3">
        <v>4.3587406230000001</v>
      </c>
      <c r="F126" s="3">
        <v>6.906739677</v>
      </c>
      <c r="G126" s="3">
        <v>1.1758123069999999</v>
      </c>
      <c r="H126" s="3">
        <v>0.64013023300000005</v>
      </c>
      <c r="I126" s="3">
        <v>0.28228268200000001</v>
      </c>
      <c r="J126" s="3">
        <v>20.179571459999998</v>
      </c>
      <c r="K126" s="3">
        <v>3.83340996</v>
      </c>
      <c r="L126" s="3">
        <v>36.316409419999999</v>
      </c>
      <c r="M126" s="3">
        <f t="shared" si="3"/>
        <v>18.460821896999999</v>
      </c>
      <c r="N126" s="3">
        <f>D126+G126+K126+E126</f>
        <v>18.500309892999997</v>
      </c>
      <c r="O126" s="3">
        <f t="shared" si="4"/>
        <v>57.418393795</v>
      </c>
      <c r="P126" s="3">
        <v>56.495980869999997</v>
      </c>
      <c r="Q126" s="3">
        <v>1.458094988</v>
      </c>
      <c r="R126">
        <v>18.771998736666699</v>
      </c>
      <c r="S126">
        <v>18.499760496666699</v>
      </c>
      <c r="T126">
        <v>62.728240766666701</v>
      </c>
      <c r="U126">
        <v>61.655900896666701</v>
      </c>
      <c r="V126">
        <v>1.0723398740000001</v>
      </c>
    </row>
    <row r="127" spans="1:22">
      <c r="A127" t="s">
        <v>138</v>
      </c>
      <c r="B127" t="s">
        <v>118</v>
      </c>
      <c r="C127" s="3">
        <v>11.55408222</v>
      </c>
      <c r="D127" s="3">
        <v>9.1323470029999996</v>
      </c>
      <c r="E127" s="3">
        <v>4.3587406230000001</v>
      </c>
      <c r="F127" s="3">
        <v>6.906739677</v>
      </c>
      <c r="G127" s="3">
        <v>1.1758123069999999</v>
      </c>
      <c r="H127" s="3">
        <v>0.64013023300000005</v>
      </c>
      <c r="I127" s="3">
        <v>0.28228268200000001</v>
      </c>
      <c r="J127" s="3">
        <v>20.179571459999998</v>
      </c>
      <c r="K127" s="3">
        <v>3.83340996</v>
      </c>
      <c r="L127" s="3">
        <v>36.316409419999999</v>
      </c>
      <c r="M127" s="3">
        <f t="shared" si="3"/>
        <v>18.460821896999999</v>
      </c>
      <c r="N127" s="3">
        <f>D127+G127+K127+E127</f>
        <v>18.500309892999997</v>
      </c>
      <c r="O127" s="3">
        <f t="shared" si="4"/>
        <v>57.418393795</v>
      </c>
      <c r="P127" s="3">
        <v>56.495980869999997</v>
      </c>
      <c r="Q127" s="3">
        <v>1.458094988</v>
      </c>
      <c r="R127">
        <v>17.46362959</v>
      </c>
      <c r="S127">
        <v>12.8017496133333</v>
      </c>
      <c r="T127">
        <v>69.734620796666704</v>
      </c>
      <c r="U127">
        <v>66.197945016666694</v>
      </c>
      <c r="V127">
        <v>3.5366757796666701</v>
      </c>
    </row>
    <row r="128" spans="1:22">
      <c r="A128" t="s">
        <v>139</v>
      </c>
      <c r="B128" t="s">
        <v>118</v>
      </c>
      <c r="C128" s="3">
        <v>11.195969399999999</v>
      </c>
      <c r="D128" s="3">
        <v>14.22571612</v>
      </c>
      <c r="E128" s="3">
        <v>4.9123897349999996</v>
      </c>
      <c r="F128" s="3">
        <v>7.3927191790000002</v>
      </c>
      <c r="G128" s="3">
        <v>0.49817261200000001</v>
      </c>
      <c r="H128" s="3">
        <v>0.89207978099999996</v>
      </c>
      <c r="I128" s="3">
        <v>0.30100046800000002</v>
      </c>
      <c r="J128" s="3">
        <v>23.437424020000002</v>
      </c>
      <c r="K128" s="3">
        <v>3.4362640369999999</v>
      </c>
      <c r="L128" s="3">
        <v>25.967936550000001</v>
      </c>
      <c r="M128" s="3">
        <f t="shared" si="3"/>
        <v>18.588688578999999</v>
      </c>
      <c r="N128" s="3">
        <f>D128+G128+K128+E128</f>
        <v>23.072542503999998</v>
      </c>
      <c r="O128" s="3">
        <f t="shared" si="4"/>
        <v>50.598440819000004</v>
      </c>
      <c r="P128" s="3">
        <v>49.40536058</v>
      </c>
      <c r="Q128" s="3">
        <v>0.63311554199999998</v>
      </c>
      <c r="R128">
        <v>19.965772340000001</v>
      </c>
      <c r="S128">
        <v>12.5533921733333</v>
      </c>
      <c r="T128">
        <v>67.480835490000004</v>
      </c>
      <c r="U128">
        <v>64.557687900000005</v>
      </c>
      <c r="V128">
        <v>2.9231475919999999</v>
      </c>
    </row>
    <row r="129" spans="1:22">
      <c r="A129" t="s">
        <v>140</v>
      </c>
      <c r="B129" t="s">
        <v>118</v>
      </c>
      <c r="C129" s="3">
        <v>11.195969399999999</v>
      </c>
      <c r="D129" s="3">
        <v>14.22571612</v>
      </c>
      <c r="E129" s="3">
        <v>4.9123897349999996</v>
      </c>
      <c r="F129" s="3">
        <v>7.3927191790000002</v>
      </c>
      <c r="G129" s="3">
        <v>0.49817261200000001</v>
      </c>
      <c r="H129" s="3">
        <v>0.89207978099999996</v>
      </c>
      <c r="I129" s="3">
        <v>0.30100046800000002</v>
      </c>
      <c r="J129" s="3">
        <v>23.437424020000002</v>
      </c>
      <c r="K129" s="3">
        <v>3.4362640369999999</v>
      </c>
      <c r="L129" s="3">
        <v>25.967936550000001</v>
      </c>
      <c r="M129" s="3">
        <f t="shared" si="3"/>
        <v>18.588688578999999</v>
      </c>
      <c r="N129" s="3">
        <f>D129+G129+K129+E129</f>
        <v>23.072542503999998</v>
      </c>
      <c r="O129" s="3">
        <f t="shared" si="4"/>
        <v>50.598440819000004</v>
      </c>
      <c r="P129" s="3">
        <v>49.40536058</v>
      </c>
      <c r="Q129" s="3">
        <v>0.63311554199999998</v>
      </c>
      <c r="R129">
        <v>23.21188532</v>
      </c>
      <c r="S129">
        <v>13.1011794733333</v>
      </c>
      <c r="T129">
        <v>63.686935206666703</v>
      </c>
      <c r="U129">
        <v>60.383307126666701</v>
      </c>
      <c r="V129">
        <v>3.3036280809999998</v>
      </c>
    </row>
    <row r="130" spans="1:22">
      <c r="A130" t="s">
        <v>141</v>
      </c>
      <c r="B130" t="s">
        <v>118</v>
      </c>
      <c r="C130" s="3">
        <v>11.195969399999999</v>
      </c>
      <c r="D130" s="3">
        <v>14.22571612</v>
      </c>
      <c r="E130" s="3">
        <v>4.9123897349999996</v>
      </c>
      <c r="F130" s="3">
        <v>7.3927191790000002</v>
      </c>
      <c r="G130" s="3">
        <v>0.49817261200000001</v>
      </c>
      <c r="H130" s="3">
        <v>0.89207978099999996</v>
      </c>
      <c r="I130" s="3">
        <v>0.30100046800000002</v>
      </c>
      <c r="J130" s="3">
        <v>23.437424020000002</v>
      </c>
      <c r="K130" s="3">
        <v>3.4362640369999999</v>
      </c>
      <c r="L130" s="3">
        <v>25.967936550000001</v>
      </c>
      <c r="M130" s="3">
        <f t="shared" si="3"/>
        <v>18.588688578999999</v>
      </c>
      <c r="N130" s="3">
        <f>D130+G130+K130+E130</f>
        <v>23.072542503999998</v>
      </c>
      <c r="O130" s="3">
        <f t="shared" si="4"/>
        <v>50.598440819000004</v>
      </c>
      <c r="P130" s="3">
        <v>49.40536058</v>
      </c>
      <c r="Q130" s="3">
        <v>0.63311554199999998</v>
      </c>
      <c r="R130">
        <v>18.418952390000001</v>
      </c>
      <c r="S130">
        <v>13.2396952033333</v>
      </c>
      <c r="T130">
        <v>68.341352409999999</v>
      </c>
      <c r="U130">
        <v>64.986399813333307</v>
      </c>
      <c r="V130">
        <v>3.3549525973333298</v>
      </c>
    </row>
    <row r="131" spans="1:22">
      <c r="A131" t="s">
        <v>142</v>
      </c>
      <c r="B131" t="s">
        <v>118</v>
      </c>
      <c r="C131" s="3">
        <v>11.122738460000001</v>
      </c>
      <c r="D131" s="3">
        <v>9.63115071</v>
      </c>
      <c r="E131" s="3">
        <v>4.0289948119999996</v>
      </c>
      <c r="F131" s="3">
        <v>7.0105677689999997</v>
      </c>
      <c r="G131" s="3">
        <v>1.3594423099999999</v>
      </c>
      <c r="H131" s="3">
        <v>0.536101418</v>
      </c>
      <c r="I131" s="3">
        <v>0.28458234100000002</v>
      </c>
      <c r="J131" s="3">
        <v>21.108335329999999</v>
      </c>
      <c r="K131" s="3">
        <v>4.0087397539999996</v>
      </c>
      <c r="L131" s="3">
        <v>36.08435918</v>
      </c>
      <c r="M131" s="3">
        <f t="shared" ref="M131:M194" si="5">C131+F131</f>
        <v>18.133306228999999</v>
      </c>
      <c r="N131" s="3">
        <f>D131+G131+K131+E131</f>
        <v>19.028327586</v>
      </c>
      <c r="O131" s="3">
        <f t="shared" si="4"/>
        <v>58.013378269</v>
      </c>
      <c r="P131" s="3">
        <v>57.192694500000002</v>
      </c>
      <c r="Q131" s="3">
        <v>1.6440246510000001</v>
      </c>
      <c r="R131">
        <v>18.240616426666701</v>
      </c>
      <c r="S131">
        <v>13.69884077</v>
      </c>
      <c r="T131">
        <v>68.060542803333306</v>
      </c>
      <c r="U131">
        <v>65.102565380000001</v>
      </c>
      <c r="V131">
        <v>2.9579774216666701</v>
      </c>
    </row>
    <row r="132" spans="1:22">
      <c r="A132" t="s">
        <v>143</v>
      </c>
      <c r="B132" t="s">
        <v>118</v>
      </c>
      <c r="C132" s="3">
        <v>11.122738460000001</v>
      </c>
      <c r="D132" s="3">
        <v>9.63115071</v>
      </c>
      <c r="E132" s="3">
        <v>4.0289948119999996</v>
      </c>
      <c r="F132" s="3">
        <v>7.0105677689999997</v>
      </c>
      <c r="G132" s="3">
        <v>1.3594423099999999</v>
      </c>
      <c r="H132" s="3">
        <v>0.536101418</v>
      </c>
      <c r="I132" s="3">
        <v>0.28458234100000002</v>
      </c>
      <c r="J132" s="3">
        <v>21.108335329999999</v>
      </c>
      <c r="K132" s="3">
        <v>4.0087397539999996</v>
      </c>
      <c r="L132" s="3">
        <v>36.08435918</v>
      </c>
      <c r="M132" s="3">
        <f t="shared" si="5"/>
        <v>18.133306228999999</v>
      </c>
      <c r="N132" s="3">
        <f>D132+G132+K132+E132</f>
        <v>19.028327586</v>
      </c>
      <c r="O132" s="3">
        <f t="shared" si="4"/>
        <v>58.013378269</v>
      </c>
      <c r="P132" s="3">
        <v>57.192694500000002</v>
      </c>
      <c r="Q132" s="3">
        <v>1.6440246510000001</v>
      </c>
      <c r="R132">
        <v>21.6176089966667</v>
      </c>
      <c r="S132">
        <v>14.9006379866667</v>
      </c>
      <c r="T132">
        <v>63.481753019999999</v>
      </c>
      <c r="U132">
        <v>61.240435073333302</v>
      </c>
      <c r="V132">
        <v>2.2413179446666698</v>
      </c>
    </row>
    <row r="133" spans="1:22">
      <c r="A133" t="s">
        <v>144</v>
      </c>
      <c r="B133" t="s">
        <v>118</v>
      </c>
      <c r="C133" s="3">
        <v>11.122738460000001</v>
      </c>
      <c r="D133" s="3">
        <v>9.63115071</v>
      </c>
      <c r="E133" s="3">
        <v>4.0289948119999996</v>
      </c>
      <c r="F133" s="3">
        <v>7.0105677689999997</v>
      </c>
      <c r="G133" s="3">
        <v>1.3594423099999999</v>
      </c>
      <c r="H133" s="3">
        <v>0.536101418</v>
      </c>
      <c r="I133" s="3">
        <v>0.28458234100000002</v>
      </c>
      <c r="J133" s="3">
        <v>21.108335329999999</v>
      </c>
      <c r="K133" s="3">
        <v>4.0087397539999996</v>
      </c>
      <c r="L133" s="3">
        <v>36.08435918</v>
      </c>
      <c r="M133" s="3">
        <f t="shared" si="5"/>
        <v>18.133306228999999</v>
      </c>
      <c r="N133" s="3">
        <f>D133+G133+K133+E133</f>
        <v>19.028327586</v>
      </c>
      <c r="O133" s="3">
        <f t="shared" si="4"/>
        <v>58.013378269</v>
      </c>
      <c r="P133" s="3">
        <v>57.192694500000002</v>
      </c>
      <c r="Q133" s="3">
        <v>1.6440246510000001</v>
      </c>
      <c r="R133">
        <v>24.132127706666701</v>
      </c>
      <c r="S133">
        <v>14.165785736666701</v>
      </c>
      <c r="T133">
        <v>61.7020865566667</v>
      </c>
      <c r="U133">
        <v>59.92355079</v>
      </c>
      <c r="V133">
        <v>1.77853576533333</v>
      </c>
    </row>
    <row r="134" spans="1:22">
      <c r="A134" t="s">
        <v>145</v>
      </c>
      <c r="B134" t="s">
        <v>118</v>
      </c>
      <c r="C134" s="3">
        <v>13.38962712</v>
      </c>
      <c r="D134" s="3">
        <v>13.522165490000001</v>
      </c>
      <c r="E134" s="3">
        <v>5.524644876</v>
      </c>
      <c r="F134" s="3">
        <v>7.8159341180000004</v>
      </c>
      <c r="G134" s="3">
        <v>0.75825059299999997</v>
      </c>
      <c r="H134" s="3">
        <v>1.2326453610000001</v>
      </c>
      <c r="I134" s="3">
        <v>2.5344025769999998</v>
      </c>
      <c r="J134" s="3">
        <v>18.41484582</v>
      </c>
      <c r="K134" s="3">
        <v>2.0414979340000001</v>
      </c>
      <c r="L134" s="3">
        <v>26.671337990000001</v>
      </c>
      <c r="M134" s="3">
        <f t="shared" si="5"/>
        <v>21.205561238000001</v>
      </c>
      <c r="N134" s="3">
        <f>D134+G134+K134+E134</f>
        <v>21.846558893000001</v>
      </c>
      <c r="O134" s="3">
        <f t="shared" si="4"/>
        <v>48.853231747999999</v>
      </c>
      <c r="P134" s="3">
        <v>45.086183820000002</v>
      </c>
      <c r="Q134" s="3">
        <v>3.2926531699999999</v>
      </c>
      <c r="R134">
        <v>16.828784556666701</v>
      </c>
      <c r="S134">
        <v>12.5780812133333</v>
      </c>
      <c r="T134">
        <v>70.593134226666706</v>
      </c>
      <c r="U134">
        <v>68.070045960000002</v>
      </c>
      <c r="V134">
        <v>2.5230882683333302</v>
      </c>
    </row>
    <row r="135" spans="1:22">
      <c r="A135" t="s">
        <v>146</v>
      </c>
      <c r="B135" t="s">
        <v>118</v>
      </c>
      <c r="C135" s="3">
        <v>13.38962712</v>
      </c>
      <c r="D135" s="3">
        <v>13.522165490000001</v>
      </c>
      <c r="E135" s="3">
        <v>5.524644876</v>
      </c>
      <c r="F135" s="3">
        <v>7.8159341180000004</v>
      </c>
      <c r="G135" s="3">
        <v>0.75825059299999997</v>
      </c>
      <c r="H135" s="3">
        <v>1.2326453610000001</v>
      </c>
      <c r="I135" s="3">
        <v>2.5344025769999998</v>
      </c>
      <c r="J135" s="3">
        <v>18.41484582</v>
      </c>
      <c r="K135" s="3">
        <v>2.0414979340000001</v>
      </c>
      <c r="L135" s="3">
        <v>26.671337990000001</v>
      </c>
      <c r="M135" s="3">
        <f t="shared" si="5"/>
        <v>21.205561238000001</v>
      </c>
      <c r="N135" s="3">
        <f>D135+G135+K135+E135</f>
        <v>21.846558893000001</v>
      </c>
      <c r="O135" s="3">
        <f t="shared" si="4"/>
        <v>48.853231747999999</v>
      </c>
      <c r="P135" s="3">
        <v>45.086183820000002</v>
      </c>
      <c r="Q135" s="3">
        <v>3.2926531699999999</v>
      </c>
      <c r="R135">
        <v>21.031269663333301</v>
      </c>
      <c r="S135">
        <v>16.8945856833333</v>
      </c>
      <c r="T135">
        <v>62.074144653333299</v>
      </c>
      <c r="U135">
        <v>60.961782820000003</v>
      </c>
      <c r="V135">
        <v>1.1123618340000001</v>
      </c>
    </row>
    <row r="136" spans="1:22">
      <c r="A136" t="s">
        <v>147</v>
      </c>
      <c r="B136" t="s">
        <v>118</v>
      </c>
      <c r="C136" s="3">
        <v>13.38962712</v>
      </c>
      <c r="D136" s="3">
        <v>13.522165490000001</v>
      </c>
      <c r="E136" s="3">
        <v>5.524644876</v>
      </c>
      <c r="F136" s="3">
        <v>7.8159341180000004</v>
      </c>
      <c r="G136" s="3">
        <v>0.75825059299999997</v>
      </c>
      <c r="H136" s="3">
        <v>1.2326453610000001</v>
      </c>
      <c r="I136" s="3">
        <v>2.5344025769999998</v>
      </c>
      <c r="J136" s="3">
        <v>18.41484582</v>
      </c>
      <c r="K136" s="3">
        <v>2.0414979340000001</v>
      </c>
      <c r="L136" s="3">
        <v>26.671337990000001</v>
      </c>
      <c r="M136" s="3">
        <f t="shared" si="5"/>
        <v>21.205561238000001</v>
      </c>
      <c r="N136" s="3">
        <f>D136+G136+K136+E136</f>
        <v>21.846558893000001</v>
      </c>
      <c r="O136" s="3">
        <f t="shared" si="4"/>
        <v>48.853231747999999</v>
      </c>
      <c r="P136" s="3">
        <v>45.086183820000002</v>
      </c>
      <c r="Q136" s="3">
        <v>3.2926531699999999</v>
      </c>
    </row>
    <row r="137" spans="1:22">
      <c r="A137" t="s">
        <v>148</v>
      </c>
      <c r="B137" t="s">
        <v>118</v>
      </c>
      <c r="C137" s="3">
        <v>12.728099289999999</v>
      </c>
      <c r="D137" s="3">
        <v>11.91493588</v>
      </c>
      <c r="E137" s="3">
        <v>5.5381983200000002</v>
      </c>
      <c r="F137" s="3">
        <v>8.1378599390000002</v>
      </c>
      <c r="G137" s="3">
        <v>0.138775811</v>
      </c>
      <c r="H137" s="3">
        <v>0.91378549799999997</v>
      </c>
      <c r="I137" s="3">
        <v>2.2835907350000002</v>
      </c>
      <c r="J137" s="3">
        <v>20.423269699999999</v>
      </c>
      <c r="K137" s="3">
        <v>1.9656212200000001</v>
      </c>
      <c r="L137" s="3">
        <v>28.70725968</v>
      </c>
      <c r="M137" s="3">
        <f t="shared" si="5"/>
        <v>20.865959228999998</v>
      </c>
      <c r="N137" s="3">
        <f>D137+G137+K137+E137</f>
        <v>19.557531230999999</v>
      </c>
      <c r="O137" s="3">
        <f t="shared" si="4"/>
        <v>52.327905612999999</v>
      </c>
      <c r="P137" s="3">
        <v>49.130529369999998</v>
      </c>
      <c r="Q137" s="3">
        <v>2.4223665460000001</v>
      </c>
    </row>
    <row r="138" spans="1:22">
      <c r="A138" t="s">
        <v>149</v>
      </c>
      <c r="B138" t="s">
        <v>118</v>
      </c>
      <c r="C138" s="3">
        <v>12.728099289999999</v>
      </c>
      <c r="D138" s="3">
        <v>11.91493588</v>
      </c>
      <c r="E138" s="3">
        <v>5.5381983200000002</v>
      </c>
      <c r="F138" s="3">
        <v>8.1378599390000002</v>
      </c>
      <c r="G138" s="3">
        <v>0.138775811</v>
      </c>
      <c r="H138" s="3">
        <v>0.91378549799999997</v>
      </c>
      <c r="I138" s="3">
        <v>2.2835907350000002</v>
      </c>
      <c r="J138" s="3">
        <v>20.423269699999999</v>
      </c>
      <c r="K138" s="3">
        <v>1.9656212200000001</v>
      </c>
      <c r="L138" s="3">
        <v>28.70725968</v>
      </c>
      <c r="M138" s="3">
        <f t="shared" si="5"/>
        <v>20.865959228999998</v>
      </c>
      <c r="N138" s="3">
        <f>D138+G138+K138+E138</f>
        <v>19.557531230999999</v>
      </c>
      <c r="O138" s="3">
        <f t="shared" si="4"/>
        <v>52.327905612999999</v>
      </c>
      <c r="P138" s="3">
        <v>49.130529369999998</v>
      </c>
      <c r="Q138" s="3">
        <v>2.4223665460000001</v>
      </c>
    </row>
    <row r="139" spans="1:22">
      <c r="A139" t="s">
        <v>150</v>
      </c>
      <c r="B139" t="s">
        <v>118</v>
      </c>
      <c r="C139" s="3">
        <v>12.728099289999999</v>
      </c>
      <c r="D139" s="3">
        <v>11.91493588</v>
      </c>
      <c r="E139" s="3">
        <v>5.5381983200000002</v>
      </c>
      <c r="F139" s="3">
        <v>8.1378599390000002</v>
      </c>
      <c r="G139" s="3">
        <v>0.138775811</v>
      </c>
      <c r="H139" s="3">
        <v>0.91378549799999997</v>
      </c>
      <c r="I139" s="3">
        <v>2.2835907350000002</v>
      </c>
      <c r="J139" s="3">
        <v>20.423269699999999</v>
      </c>
      <c r="K139" s="3">
        <v>1.9656212200000001</v>
      </c>
      <c r="L139" s="3">
        <v>28.70725968</v>
      </c>
      <c r="M139" s="3">
        <f t="shared" si="5"/>
        <v>20.865959228999998</v>
      </c>
      <c r="N139" s="3">
        <f>D139+G139+K139+E139</f>
        <v>19.557531230999999</v>
      </c>
      <c r="O139" s="3">
        <f t="shared" si="4"/>
        <v>52.327905612999999</v>
      </c>
      <c r="P139" s="3">
        <v>49.130529369999998</v>
      </c>
      <c r="Q139" s="3">
        <v>2.4223665460000001</v>
      </c>
    </row>
    <row r="140" spans="1:22">
      <c r="A140" t="s">
        <v>151</v>
      </c>
      <c r="B140" t="s">
        <v>118</v>
      </c>
      <c r="C140" s="3">
        <v>12.98888322</v>
      </c>
      <c r="D140" s="3">
        <v>9.2224622059999994</v>
      </c>
      <c r="E140" s="3">
        <v>5.5128796500000004</v>
      </c>
      <c r="F140" s="3">
        <v>7.1965796620000004</v>
      </c>
      <c r="G140" s="3">
        <v>0.46357783000000002</v>
      </c>
      <c r="H140" s="3">
        <v>0.79762026799999997</v>
      </c>
      <c r="I140" s="3">
        <v>2.0703879409999999</v>
      </c>
      <c r="J140" s="3">
        <v>16.679908489999999</v>
      </c>
      <c r="K140" s="3">
        <v>2.4551867000000001</v>
      </c>
      <c r="L140" s="3">
        <v>34.357126610000002</v>
      </c>
      <c r="M140" s="3">
        <f t="shared" si="5"/>
        <v>20.185462881999999</v>
      </c>
      <c r="N140" s="3">
        <f>D140+G140+K140+E140</f>
        <v>17.654106386000002</v>
      </c>
      <c r="O140" s="3">
        <f t="shared" si="4"/>
        <v>53.905043309</v>
      </c>
      <c r="P140" s="3">
        <v>51.037035099999997</v>
      </c>
      <c r="Q140" s="3">
        <v>2.5339657710000001</v>
      </c>
    </row>
    <row r="141" spans="1:22">
      <c r="A141" t="s">
        <v>152</v>
      </c>
      <c r="B141" t="s">
        <v>118</v>
      </c>
      <c r="C141" s="3">
        <v>12.98888322</v>
      </c>
      <c r="D141" s="3">
        <v>9.2224622059999994</v>
      </c>
      <c r="E141" s="3">
        <v>5.5128796500000004</v>
      </c>
      <c r="F141" s="3">
        <v>7.1965796620000004</v>
      </c>
      <c r="G141" s="3">
        <v>0.46357783000000002</v>
      </c>
      <c r="H141" s="3">
        <v>0.79762026799999997</v>
      </c>
      <c r="I141" s="3">
        <v>2.0703879409999999</v>
      </c>
      <c r="J141" s="3">
        <v>16.679908489999999</v>
      </c>
      <c r="K141" s="3">
        <v>2.4551867000000001</v>
      </c>
      <c r="L141" s="3">
        <v>34.357126610000002</v>
      </c>
      <c r="M141" s="3">
        <f t="shared" si="5"/>
        <v>20.185462881999999</v>
      </c>
      <c r="N141" s="3">
        <f>D141+G141+K141+E141</f>
        <v>17.654106386000002</v>
      </c>
      <c r="O141" s="3">
        <f t="shared" si="4"/>
        <v>53.905043309</v>
      </c>
      <c r="P141" s="3">
        <v>51.037035099999997</v>
      </c>
      <c r="Q141" s="3">
        <v>2.5339657710000001</v>
      </c>
    </row>
    <row r="142" spans="1:22">
      <c r="A142" t="s">
        <v>153</v>
      </c>
      <c r="B142" t="s">
        <v>118</v>
      </c>
      <c r="C142" s="3">
        <v>12.98888322</v>
      </c>
      <c r="D142" s="3">
        <v>9.2224622059999994</v>
      </c>
      <c r="E142" s="3">
        <v>5.5128796500000004</v>
      </c>
      <c r="F142" s="3">
        <v>7.1965796620000004</v>
      </c>
      <c r="G142" s="3">
        <v>0.46357783000000002</v>
      </c>
      <c r="H142" s="3">
        <v>0.79762026799999997</v>
      </c>
      <c r="I142" s="3">
        <v>2.0703879409999999</v>
      </c>
      <c r="J142" s="3">
        <v>16.679908489999999</v>
      </c>
      <c r="K142" s="3">
        <v>2.4551867000000001</v>
      </c>
      <c r="L142" s="3">
        <v>34.357126610000002</v>
      </c>
      <c r="M142" s="3">
        <f t="shared" si="5"/>
        <v>20.185462881999999</v>
      </c>
      <c r="N142" s="3">
        <f>D142+G142+K142+E142</f>
        <v>17.654106386000002</v>
      </c>
      <c r="O142" s="3">
        <f t="shared" si="4"/>
        <v>53.905043309</v>
      </c>
      <c r="P142" s="3">
        <v>51.037035099999997</v>
      </c>
      <c r="Q142" s="3">
        <v>2.5339657710000001</v>
      </c>
    </row>
    <row r="143" spans="1:22">
      <c r="A143" t="s">
        <v>154</v>
      </c>
      <c r="B143" t="s">
        <v>118</v>
      </c>
      <c r="C143" s="3">
        <v>13.00527503</v>
      </c>
      <c r="D143" s="3">
        <v>8.5926478680000002</v>
      </c>
      <c r="E143" s="3">
        <v>4.6613433689999999</v>
      </c>
      <c r="F143" s="3">
        <v>6.7139065779999996</v>
      </c>
      <c r="G143" s="3">
        <v>1.5043297520000001</v>
      </c>
      <c r="H143" s="3">
        <v>0.86146490200000003</v>
      </c>
      <c r="I143" s="3">
        <v>1.6229951730000001</v>
      </c>
      <c r="J143" s="3">
        <v>10.71783761</v>
      </c>
      <c r="K143" s="3">
        <v>2.900321237</v>
      </c>
      <c r="L143" s="3">
        <v>42.420592390000003</v>
      </c>
      <c r="M143" s="3">
        <f t="shared" si="5"/>
        <v>19.719181608</v>
      </c>
      <c r="N143" s="3">
        <f>D143+G143+K143+E143</f>
        <v>17.658642226000001</v>
      </c>
      <c r="O143" s="3">
        <f t="shared" si="4"/>
        <v>55.622890075000001</v>
      </c>
      <c r="P143" s="3">
        <v>53.138429989999999</v>
      </c>
      <c r="Q143" s="3">
        <v>3.1273249239999998</v>
      </c>
    </row>
    <row r="144" spans="1:22">
      <c r="A144" t="s">
        <v>155</v>
      </c>
      <c r="B144" t="s">
        <v>118</v>
      </c>
      <c r="C144" s="3">
        <v>13.00527503</v>
      </c>
      <c r="D144" s="3">
        <v>8.5926478680000002</v>
      </c>
      <c r="E144" s="3">
        <v>4.6613433689999999</v>
      </c>
      <c r="F144" s="3">
        <v>6.7139065779999996</v>
      </c>
      <c r="G144" s="3">
        <v>1.5043297520000001</v>
      </c>
      <c r="H144" s="3">
        <v>0.86146490200000003</v>
      </c>
      <c r="I144" s="3">
        <v>1.6229951730000001</v>
      </c>
      <c r="J144" s="3">
        <v>10.71783761</v>
      </c>
      <c r="K144" s="3">
        <v>2.900321237</v>
      </c>
      <c r="L144" s="3">
        <v>42.420592390000003</v>
      </c>
      <c r="M144" s="3">
        <f t="shared" si="5"/>
        <v>19.719181608</v>
      </c>
      <c r="N144" s="3">
        <f>D144+G144+K144+E144</f>
        <v>17.658642226000001</v>
      </c>
      <c r="O144" s="3">
        <f t="shared" si="4"/>
        <v>55.622890075000001</v>
      </c>
      <c r="P144" s="3">
        <v>53.138429989999999</v>
      </c>
      <c r="Q144" s="3">
        <v>3.1273249239999998</v>
      </c>
    </row>
    <row r="145" spans="1:17">
      <c r="A145" t="s">
        <v>156</v>
      </c>
      <c r="B145" t="s">
        <v>118</v>
      </c>
      <c r="C145" s="3">
        <v>13.00527503</v>
      </c>
      <c r="D145" s="3">
        <v>8.5926478680000002</v>
      </c>
      <c r="E145" s="3">
        <v>4.6613433689999999</v>
      </c>
      <c r="F145" s="3">
        <v>6.7139065779999996</v>
      </c>
      <c r="G145" s="3">
        <v>1.5043297520000001</v>
      </c>
      <c r="H145" s="3">
        <v>0.86146490200000003</v>
      </c>
      <c r="I145" s="3">
        <v>1.6229951730000001</v>
      </c>
      <c r="J145" s="3">
        <v>10.71783761</v>
      </c>
      <c r="K145" s="3">
        <v>2.900321237</v>
      </c>
      <c r="L145" s="3">
        <v>42.420592390000003</v>
      </c>
      <c r="M145" s="3">
        <f t="shared" si="5"/>
        <v>19.719181608</v>
      </c>
      <c r="N145" s="3">
        <f>D145+G145+K145+E145</f>
        <v>17.658642226000001</v>
      </c>
      <c r="O145" s="3">
        <f t="shared" si="4"/>
        <v>55.622890075000001</v>
      </c>
      <c r="P145" s="3">
        <v>53.138429989999999</v>
      </c>
      <c r="Q145" s="3">
        <v>3.1273249239999998</v>
      </c>
    </row>
    <row r="146" spans="1:17">
      <c r="A146" t="s">
        <v>157</v>
      </c>
      <c r="B146" t="s">
        <v>118</v>
      </c>
      <c r="C146" s="3">
        <v>13.73655061</v>
      </c>
      <c r="D146" s="3">
        <v>6.1328760430000004</v>
      </c>
      <c r="E146" s="3">
        <v>4.919401959</v>
      </c>
      <c r="F146" s="3">
        <v>5.1234800739999997</v>
      </c>
      <c r="G146" s="3">
        <v>1.209793871</v>
      </c>
      <c r="H146" s="3">
        <v>0.56384281300000005</v>
      </c>
      <c r="I146" s="3">
        <v>0.82934695999999997</v>
      </c>
      <c r="J146" s="3">
        <v>10.57666094</v>
      </c>
      <c r="K146" s="3">
        <v>2.9135967150000002</v>
      </c>
      <c r="L146" s="3">
        <v>49.345131109999997</v>
      </c>
      <c r="M146" s="3">
        <f t="shared" si="5"/>
        <v>18.860030684000002</v>
      </c>
      <c r="N146" s="3">
        <f>D146+G146+K146+E146</f>
        <v>15.175668588000001</v>
      </c>
      <c r="O146" s="3">
        <f t="shared" si="4"/>
        <v>61.314981822999997</v>
      </c>
      <c r="P146" s="3">
        <v>59.92179204</v>
      </c>
      <c r="Q146" s="3">
        <v>2.0391408310000001</v>
      </c>
    </row>
    <row r="147" spans="1:17">
      <c r="A147" t="s">
        <v>158</v>
      </c>
      <c r="B147" t="s">
        <v>118</v>
      </c>
      <c r="C147" s="3">
        <v>13.73655061</v>
      </c>
      <c r="D147" s="3">
        <v>6.1328760430000004</v>
      </c>
      <c r="E147" s="3">
        <v>4.919401959</v>
      </c>
      <c r="F147" s="3">
        <v>5.1234800739999997</v>
      </c>
      <c r="G147" s="3">
        <v>1.209793871</v>
      </c>
      <c r="H147" s="3">
        <v>0.56384281300000005</v>
      </c>
      <c r="I147" s="3">
        <v>0.82934695999999997</v>
      </c>
      <c r="J147" s="3">
        <v>10.57666094</v>
      </c>
      <c r="K147" s="3">
        <v>2.9135967150000002</v>
      </c>
      <c r="L147" s="3">
        <v>49.345131109999997</v>
      </c>
      <c r="M147" s="3">
        <f t="shared" si="5"/>
        <v>18.860030684000002</v>
      </c>
      <c r="N147" s="3">
        <f>D147+G147+K147+E147</f>
        <v>15.175668588000001</v>
      </c>
      <c r="O147" s="3">
        <f t="shared" si="4"/>
        <v>61.314981822999997</v>
      </c>
      <c r="P147" s="3">
        <v>59.92179204</v>
      </c>
      <c r="Q147" s="3">
        <v>2.0391408310000001</v>
      </c>
    </row>
    <row r="148" spans="1:17">
      <c r="A148" t="s">
        <v>159</v>
      </c>
      <c r="B148" t="s">
        <v>118</v>
      </c>
      <c r="C148" s="3">
        <v>13.73655061</v>
      </c>
      <c r="D148" s="3">
        <v>6.1328760430000004</v>
      </c>
      <c r="E148" s="3">
        <v>4.919401959</v>
      </c>
      <c r="F148" s="3">
        <v>5.1234800739999997</v>
      </c>
      <c r="G148" s="3">
        <v>1.209793871</v>
      </c>
      <c r="H148" s="3">
        <v>0.56384281300000005</v>
      </c>
      <c r="I148" s="3">
        <v>0.82934695999999997</v>
      </c>
      <c r="J148" s="3">
        <v>10.57666094</v>
      </c>
      <c r="K148" s="3">
        <v>2.9135967150000002</v>
      </c>
      <c r="L148" s="3">
        <v>49.345131109999997</v>
      </c>
      <c r="M148" s="3">
        <f t="shared" si="5"/>
        <v>18.860030684000002</v>
      </c>
      <c r="N148" s="3">
        <f>D148+G148+K148+E148</f>
        <v>15.175668588000001</v>
      </c>
      <c r="O148" s="3">
        <f t="shared" si="4"/>
        <v>61.314981822999997</v>
      </c>
      <c r="P148" s="3">
        <v>59.92179204</v>
      </c>
      <c r="Q148" s="3">
        <v>2.0391408310000001</v>
      </c>
    </row>
    <row r="149" spans="1:17">
      <c r="A149" t="s">
        <v>160</v>
      </c>
      <c r="B149" t="s">
        <v>118</v>
      </c>
      <c r="C149" s="3">
        <v>12.660298409999999</v>
      </c>
      <c r="D149" s="3">
        <v>5.6215726359999998</v>
      </c>
      <c r="E149" s="3">
        <v>4.8000376249999999</v>
      </c>
      <c r="F149" s="3">
        <v>5.5314787709999997</v>
      </c>
      <c r="G149" s="3">
        <v>0.95617600199999997</v>
      </c>
      <c r="H149" s="3">
        <v>0.84291875999999999</v>
      </c>
      <c r="I149" s="3">
        <v>1.2989523629999999</v>
      </c>
      <c r="J149" s="3">
        <v>10.50717871</v>
      </c>
      <c r="K149" s="3">
        <v>3.8044077239999998</v>
      </c>
      <c r="L149" s="3">
        <v>46.492553450000003</v>
      </c>
      <c r="M149" s="3">
        <f t="shared" si="5"/>
        <v>18.191777180999999</v>
      </c>
      <c r="N149" s="3">
        <f>D149+G149+K149+E149</f>
        <v>15.182193987</v>
      </c>
      <c r="O149" s="3">
        <f t="shared" si="4"/>
        <v>59.141603283000002</v>
      </c>
      <c r="P149" s="3">
        <v>56.999732160000001</v>
      </c>
      <c r="Q149" s="3">
        <v>2.255128365</v>
      </c>
    </row>
    <row r="150" spans="1:17">
      <c r="A150" t="s">
        <v>161</v>
      </c>
      <c r="B150" t="s">
        <v>118</v>
      </c>
      <c r="C150" s="3">
        <v>12.660298409999999</v>
      </c>
      <c r="D150" s="3">
        <v>5.6215726359999998</v>
      </c>
      <c r="E150" s="3">
        <v>4.8000376249999999</v>
      </c>
      <c r="F150" s="3">
        <v>5.5314787709999997</v>
      </c>
      <c r="G150" s="3">
        <v>0.95617600199999997</v>
      </c>
      <c r="H150" s="3">
        <v>0.84291875999999999</v>
      </c>
      <c r="I150" s="3">
        <v>1.2989523629999999</v>
      </c>
      <c r="J150" s="3">
        <v>10.50717871</v>
      </c>
      <c r="K150" s="3">
        <v>3.8044077239999998</v>
      </c>
      <c r="L150" s="3">
        <v>46.492553450000003</v>
      </c>
      <c r="M150" s="3">
        <f t="shared" si="5"/>
        <v>18.191777180999999</v>
      </c>
      <c r="N150" s="3">
        <f>D150+G150+K150+E150</f>
        <v>15.182193987</v>
      </c>
      <c r="O150" s="3">
        <f t="shared" si="4"/>
        <v>59.141603283000002</v>
      </c>
      <c r="P150" s="3">
        <v>56.999732160000001</v>
      </c>
      <c r="Q150" s="3">
        <v>2.255128365</v>
      </c>
    </row>
    <row r="151" spans="1:17">
      <c r="A151" t="s">
        <v>162</v>
      </c>
      <c r="B151" t="s">
        <v>118</v>
      </c>
      <c r="C151" s="3">
        <v>12.660298409999999</v>
      </c>
      <c r="D151" s="3">
        <v>5.6215726359999998</v>
      </c>
      <c r="E151" s="3">
        <v>4.8000376249999999</v>
      </c>
      <c r="F151" s="3">
        <v>5.5314787709999997</v>
      </c>
      <c r="G151" s="3">
        <v>0.95617600199999997</v>
      </c>
      <c r="H151" s="3">
        <v>0.84291875999999999</v>
      </c>
      <c r="I151" s="3">
        <v>1.2989523629999999</v>
      </c>
      <c r="J151" s="3">
        <v>10.50717871</v>
      </c>
      <c r="K151" s="3">
        <v>3.8044077239999998</v>
      </c>
      <c r="L151" s="3">
        <v>46.492553450000003</v>
      </c>
      <c r="M151" s="3">
        <f t="shared" si="5"/>
        <v>18.191777180999999</v>
      </c>
      <c r="N151" s="3">
        <f>D151+G151+K151+E151</f>
        <v>15.182193987</v>
      </c>
      <c r="O151" s="3">
        <f t="shared" ref="O151:O214" si="6">J151+I151+H151+L151</f>
        <v>59.141603283000002</v>
      </c>
      <c r="P151" s="3">
        <v>56.999732160000001</v>
      </c>
      <c r="Q151" s="3">
        <v>2.255128365</v>
      </c>
    </row>
    <row r="152" spans="1:17">
      <c r="A152" t="s">
        <v>163</v>
      </c>
      <c r="B152" t="s">
        <v>118</v>
      </c>
      <c r="C152" s="3">
        <v>12.37080128</v>
      </c>
      <c r="D152" s="3">
        <v>6.3815021569999999</v>
      </c>
      <c r="E152" s="3">
        <v>4.5878891140000002</v>
      </c>
      <c r="F152" s="3">
        <v>5.1200355760000003</v>
      </c>
      <c r="G152" s="3">
        <v>0.32038966499999999</v>
      </c>
      <c r="H152" s="3">
        <v>0.93312176400000002</v>
      </c>
      <c r="I152" s="3">
        <v>0.42095752400000003</v>
      </c>
      <c r="J152" s="3">
        <v>11.29617796</v>
      </c>
      <c r="K152" s="3">
        <v>4.5622765210000003</v>
      </c>
      <c r="L152" s="3">
        <v>46.066848520000001</v>
      </c>
      <c r="M152" s="3">
        <f t="shared" si="5"/>
        <v>17.490836856000001</v>
      </c>
      <c r="N152" s="3">
        <f>D152+G152+K152+E152</f>
        <v>15.852057457000001</v>
      </c>
      <c r="O152" s="3">
        <f t="shared" si="6"/>
        <v>58.717105767999996</v>
      </c>
      <c r="P152" s="3">
        <v>57.363026480000002</v>
      </c>
      <c r="Q152" s="3">
        <v>0.74134718799999999</v>
      </c>
    </row>
    <row r="153" spans="1:17">
      <c r="A153" t="s">
        <v>164</v>
      </c>
      <c r="B153" t="s">
        <v>118</v>
      </c>
      <c r="C153" s="3">
        <v>12.37080128</v>
      </c>
      <c r="D153" s="3">
        <v>6.3815021569999999</v>
      </c>
      <c r="E153" s="3">
        <v>4.5878891140000002</v>
      </c>
      <c r="F153" s="3">
        <v>5.1200355760000003</v>
      </c>
      <c r="G153" s="3">
        <v>0.32038966499999999</v>
      </c>
      <c r="H153" s="3">
        <v>0.93312176400000002</v>
      </c>
      <c r="I153" s="3">
        <v>0.42095752400000003</v>
      </c>
      <c r="J153" s="3">
        <v>11.29617796</v>
      </c>
      <c r="K153" s="3">
        <v>4.5622765210000003</v>
      </c>
      <c r="L153" s="3">
        <v>46.066848520000001</v>
      </c>
      <c r="M153" s="3">
        <f t="shared" si="5"/>
        <v>17.490836856000001</v>
      </c>
      <c r="N153" s="3">
        <f>D153+G153+K153+E153</f>
        <v>15.852057457000001</v>
      </c>
      <c r="O153" s="3">
        <f t="shared" si="6"/>
        <v>58.717105767999996</v>
      </c>
      <c r="P153" s="3">
        <v>57.363026480000002</v>
      </c>
      <c r="Q153" s="3">
        <v>0.74134718799999999</v>
      </c>
    </row>
    <row r="154" spans="1:17">
      <c r="A154" t="s">
        <v>165</v>
      </c>
      <c r="B154" t="s">
        <v>118</v>
      </c>
      <c r="C154" s="3">
        <v>12.37080128</v>
      </c>
      <c r="D154" s="3">
        <v>6.3815021569999999</v>
      </c>
      <c r="E154" s="3">
        <v>4.5878891140000002</v>
      </c>
      <c r="F154" s="3">
        <v>5.1200355760000003</v>
      </c>
      <c r="G154" s="3">
        <v>0.32038966499999999</v>
      </c>
      <c r="H154" s="3">
        <v>0.93312176400000002</v>
      </c>
      <c r="I154" s="3">
        <v>0.42095752400000003</v>
      </c>
      <c r="J154" s="3">
        <v>11.29617796</v>
      </c>
      <c r="K154" s="3">
        <v>4.5622765210000003</v>
      </c>
      <c r="L154" s="3">
        <v>46.066848520000001</v>
      </c>
      <c r="M154" s="3">
        <f t="shared" si="5"/>
        <v>17.490836856000001</v>
      </c>
      <c r="N154" s="3">
        <f>D154+G154+K154+E154</f>
        <v>15.852057457000001</v>
      </c>
      <c r="O154" s="3">
        <f t="shared" si="6"/>
        <v>58.717105767999996</v>
      </c>
      <c r="P154" s="3">
        <v>57.363026480000002</v>
      </c>
      <c r="Q154" s="3">
        <v>0.74134718799999999</v>
      </c>
    </row>
    <row r="155" spans="1:17">
      <c r="A155" t="s">
        <v>166</v>
      </c>
      <c r="B155" t="s">
        <v>118</v>
      </c>
      <c r="C155" s="3">
        <v>11.586002369999999</v>
      </c>
      <c r="D155" s="3">
        <v>6.6586403430000001</v>
      </c>
      <c r="E155" s="3">
        <v>4.7485823519999997</v>
      </c>
      <c r="F155" s="3">
        <v>5.4548430449999996</v>
      </c>
      <c r="G155" s="3">
        <v>0.749389046</v>
      </c>
      <c r="H155" s="3">
        <v>1.1138260090000001</v>
      </c>
      <c r="I155" s="3">
        <v>0.14732071899999999</v>
      </c>
      <c r="J155" s="3">
        <v>12.09553605</v>
      </c>
      <c r="K155" s="3">
        <v>5.2962990190000001</v>
      </c>
      <c r="L155" s="3">
        <v>44.204034450000002</v>
      </c>
      <c r="M155" s="3">
        <f t="shared" si="5"/>
        <v>17.040845415</v>
      </c>
      <c r="N155" s="3">
        <f>D155+G155+K155+E155</f>
        <v>17.452910760000002</v>
      </c>
      <c r="O155" s="3">
        <f t="shared" si="6"/>
        <v>57.560717228000001</v>
      </c>
      <c r="P155" s="3">
        <v>56.299570500000002</v>
      </c>
      <c r="Q155" s="3">
        <v>0.64691341599999996</v>
      </c>
    </row>
    <row r="156" spans="1:17">
      <c r="A156" t="s">
        <v>167</v>
      </c>
      <c r="B156" t="s">
        <v>118</v>
      </c>
      <c r="C156" s="3">
        <v>11.586002369999999</v>
      </c>
      <c r="D156" s="3">
        <v>6.6586403430000001</v>
      </c>
      <c r="E156" s="3">
        <v>4.7485823519999997</v>
      </c>
      <c r="F156" s="3">
        <v>5.4548430449999996</v>
      </c>
      <c r="G156" s="3">
        <v>0.749389046</v>
      </c>
      <c r="H156" s="3">
        <v>1.1138260090000001</v>
      </c>
      <c r="I156" s="3">
        <v>0.14732071899999999</v>
      </c>
      <c r="J156" s="3">
        <v>12.09553605</v>
      </c>
      <c r="K156" s="3">
        <v>5.2962990190000001</v>
      </c>
      <c r="L156" s="3">
        <v>44.204034450000002</v>
      </c>
      <c r="M156" s="3">
        <f t="shared" si="5"/>
        <v>17.040845415</v>
      </c>
      <c r="N156" s="3">
        <f>D156+G156+K156+E156</f>
        <v>17.452910760000002</v>
      </c>
      <c r="O156" s="3">
        <f t="shared" si="6"/>
        <v>57.560717228000001</v>
      </c>
      <c r="P156" s="3">
        <v>56.299570500000002</v>
      </c>
      <c r="Q156" s="3">
        <v>0.64691341599999996</v>
      </c>
    </row>
    <row r="157" spans="1:17">
      <c r="A157" t="s">
        <v>168</v>
      </c>
      <c r="B157" t="s">
        <v>118</v>
      </c>
      <c r="C157" s="3">
        <v>11.586002369999999</v>
      </c>
      <c r="D157" s="3">
        <v>6.6586403430000001</v>
      </c>
      <c r="E157" s="3">
        <v>4.7485823519999997</v>
      </c>
      <c r="F157" s="3">
        <v>5.4548430449999996</v>
      </c>
      <c r="G157" s="3">
        <v>0.749389046</v>
      </c>
      <c r="H157" s="3">
        <v>1.1138260090000001</v>
      </c>
      <c r="I157" s="3">
        <v>0.14732071899999999</v>
      </c>
      <c r="J157" s="3">
        <v>12.09553605</v>
      </c>
      <c r="K157" s="3">
        <v>5.2962990190000001</v>
      </c>
      <c r="L157" s="3">
        <v>44.204034450000002</v>
      </c>
      <c r="M157" s="3">
        <f t="shared" si="5"/>
        <v>17.040845415</v>
      </c>
      <c r="N157" s="3">
        <f>D157+G157+K157+E157</f>
        <v>17.452910760000002</v>
      </c>
      <c r="O157" s="3">
        <f t="shared" si="6"/>
        <v>57.560717228000001</v>
      </c>
      <c r="P157" s="3">
        <v>56.299570500000002</v>
      </c>
      <c r="Q157" s="3">
        <v>0.64691341599999996</v>
      </c>
    </row>
    <row r="158" spans="1:17">
      <c r="A158" t="s">
        <v>169</v>
      </c>
      <c r="B158" t="s">
        <v>118</v>
      </c>
      <c r="C158" s="3">
        <v>12.288321180000001</v>
      </c>
      <c r="D158" s="3">
        <v>5.8761597739999996</v>
      </c>
      <c r="E158" s="3">
        <v>5.2297766909999996</v>
      </c>
      <c r="F158" s="3">
        <v>4.6476676570000004</v>
      </c>
      <c r="G158" s="3">
        <v>0.42204437900000003</v>
      </c>
      <c r="H158" s="3">
        <v>0.84484812799999998</v>
      </c>
      <c r="I158" s="3">
        <v>0.139158276</v>
      </c>
      <c r="J158" s="3">
        <v>11.51853273</v>
      </c>
      <c r="K158" s="3">
        <v>5.0129032960000002</v>
      </c>
      <c r="L158" s="3">
        <v>47.119786079999997</v>
      </c>
      <c r="M158" s="3">
        <f t="shared" si="5"/>
        <v>16.935988837</v>
      </c>
      <c r="N158" s="3">
        <f>D158+G158+K158+E158</f>
        <v>16.540884139999999</v>
      </c>
      <c r="O158" s="3">
        <f t="shared" si="6"/>
        <v>59.622325214</v>
      </c>
      <c r="P158" s="3">
        <v>58.638318810000001</v>
      </c>
      <c r="Q158" s="3">
        <v>0.56120265499999999</v>
      </c>
    </row>
    <row r="159" spans="1:17">
      <c r="A159" t="s">
        <v>170</v>
      </c>
      <c r="B159" t="s">
        <v>118</v>
      </c>
      <c r="C159" s="3">
        <v>12.288321180000001</v>
      </c>
      <c r="D159" s="3">
        <v>5.8761597739999996</v>
      </c>
      <c r="E159" s="3">
        <v>5.2297766909999996</v>
      </c>
      <c r="F159" s="3">
        <v>4.6476676570000004</v>
      </c>
      <c r="G159" s="3">
        <v>0.42204437900000003</v>
      </c>
      <c r="H159" s="3">
        <v>0.84484812799999998</v>
      </c>
      <c r="I159" s="3">
        <v>0.139158276</v>
      </c>
      <c r="J159" s="3">
        <v>11.51853273</v>
      </c>
      <c r="K159" s="3">
        <v>5.0129032960000002</v>
      </c>
      <c r="L159" s="3">
        <v>47.119786079999997</v>
      </c>
      <c r="M159" s="3">
        <f t="shared" si="5"/>
        <v>16.935988837</v>
      </c>
      <c r="N159" s="3">
        <f>D159+G159+K159+E159</f>
        <v>16.540884139999999</v>
      </c>
      <c r="O159" s="3">
        <f t="shared" si="6"/>
        <v>59.622325214</v>
      </c>
      <c r="P159" s="3">
        <v>58.638318810000001</v>
      </c>
      <c r="Q159" s="3">
        <v>0.56120265499999999</v>
      </c>
    </row>
    <row r="160" spans="1:17">
      <c r="A160" t="s">
        <v>171</v>
      </c>
      <c r="B160" t="s">
        <v>118</v>
      </c>
      <c r="C160" s="3">
        <v>12.288321180000001</v>
      </c>
      <c r="D160" s="3">
        <v>5.8761597739999996</v>
      </c>
      <c r="E160" s="3">
        <v>5.2297766909999996</v>
      </c>
      <c r="F160" s="3">
        <v>4.6476676570000004</v>
      </c>
      <c r="G160" s="3">
        <v>0.42204437900000003</v>
      </c>
      <c r="H160" s="3">
        <v>0.84484812799999998</v>
      </c>
      <c r="I160" s="3">
        <v>0.139158276</v>
      </c>
      <c r="J160" s="3">
        <v>11.51853273</v>
      </c>
      <c r="K160" s="3">
        <v>5.0129032960000002</v>
      </c>
      <c r="L160" s="3">
        <v>47.119786079999997</v>
      </c>
      <c r="M160" s="3">
        <f t="shared" si="5"/>
        <v>16.935988837</v>
      </c>
      <c r="N160" s="3">
        <f>D160+G160+K160+E160</f>
        <v>16.540884139999999</v>
      </c>
      <c r="O160" s="3">
        <f t="shared" si="6"/>
        <v>59.622325214</v>
      </c>
      <c r="P160" s="3">
        <v>58.638318810000001</v>
      </c>
      <c r="Q160" s="3">
        <v>0.56120265499999999</v>
      </c>
    </row>
    <row r="161" spans="1:17">
      <c r="A161" t="s">
        <v>172</v>
      </c>
      <c r="B161" t="s">
        <v>118</v>
      </c>
      <c r="C161" s="3">
        <v>12.560543340000001</v>
      </c>
      <c r="D161" s="3">
        <v>5.8647000309999999</v>
      </c>
      <c r="E161" s="3">
        <v>4.9383383600000004</v>
      </c>
      <c r="F161" s="3">
        <v>4.4610054630000002</v>
      </c>
      <c r="G161" s="3">
        <v>0.28476147299999999</v>
      </c>
      <c r="H161" s="3">
        <v>1.267434919</v>
      </c>
      <c r="I161" s="3">
        <v>0.178335401</v>
      </c>
      <c r="J161" s="3">
        <v>11.14998041</v>
      </c>
      <c r="K161" s="3">
        <v>5.5596269449999998</v>
      </c>
      <c r="L161" s="3">
        <v>43.872778660000002</v>
      </c>
      <c r="M161" s="3">
        <f t="shared" si="5"/>
        <v>17.021548803000002</v>
      </c>
      <c r="N161" s="3">
        <f>D161+G161+K161+E161</f>
        <v>16.647426808999999</v>
      </c>
      <c r="O161" s="3">
        <f t="shared" si="6"/>
        <v>56.46852939</v>
      </c>
      <c r="P161" s="3">
        <v>55.022759069999999</v>
      </c>
      <c r="Q161" s="3">
        <v>0.368176383</v>
      </c>
    </row>
    <row r="162" spans="1:17">
      <c r="A162" t="s">
        <v>173</v>
      </c>
      <c r="B162" t="s">
        <v>118</v>
      </c>
      <c r="C162" s="3">
        <v>12.560543340000001</v>
      </c>
      <c r="D162" s="3">
        <v>5.8647000309999999</v>
      </c>
      <c r="E162" s="3">
        <v>4.9383383600000004</v>
      </c>
      <c r="F162" s="3">
        <v>4.4610054630000002</v>
      </c>
      <c r="G162" s="3">
        <v>0.28476147299999999</v>
      </c>
      <c r="H162" s="3">
        <v>1.267434919</v>
      </c>
      <c r="I162" s="3">
        <v>0.178335401</v>
      </c>
      <c r="J162" s="3">
        <v>11.14998041</v>
      </c>
      <c r="K162" s="3">
        <v>5.5596269449999998</v>
      </c>
      <c r="L162" s="3">
        <v>43.872778660000002</v>
      </c>
      <c r="M162" s="3">
        <f t="shared" si="5"/>
        <v>17.021548803000002</v>
      </c>
      <c r="N162" s="3">
        <f>D162+G162+K162+E162</f>
        <v>16.647426808999999</v>
      </c>
      <c r="O162" s="3">
        <f t="shared" si="6"/>
        <v>56.46852939</v>
      </c>
      <c r="P162" s="3">
        <v>55.022759069999999</v>
      </c>
      <c r="Q162" s="3">
        <v>0.368176383</v>
      </c>
    </row>
    <row r="163" spans="1:17">
      <c r="A163" t="s">
        <v>174</v>
      </c>
      <c r="B163" t="s">
        <v>118</v>
      </c>
      <c r="C163" s="3">
        <v>12.560543340000001</v>
      </c>
      <c r="D163" s="3">
        <v>5.8647000309999999</v>
      </c>
      <c r="E163" s="3">
        <v>4.9383383600000004</v>
      </c>
      <c r="F163" s="3">
        <v>4.4610054630000002</v>
      </c>
      <c r="G163" s="3">
        <v>0.28476147299999999</v>
      </c>
      <c r="H163" s="3">
        <v>1.267434919</v>
      </c>
      <c r="I163" s="3">
        <v>0.178335401</v>
      </c>
      <c r="J163" s="3">
        <v>11.14998041</v>
      </c>
      <c r="K163" s="3">
        <v>5.5596269449999998</v>
      </c>
      <c r="L163" s="3">
        <v>43.872778660000002</v>
      </c>
      <c r="M163" s="3">
        <f t="shared" si="5"/>
        <v>17.021548803000002</v>
      </c>
      <c r="N163" s="3">
        <f>D163+G163+K163+E163</f>
        <v>16.647426808999999</v>
      </c>
      <c r="O163" s="3">
        <f t="shared" si="6"/>
        <v>56.46852939</v>
      </c>
      <c r="P163" s="3">
        <v>55.022759069999999</v>
      </c>
      <c r="Q163" s="3">
        <v>0.368176383</v>
      </c>
    </row>
    <row r="164" spans="1:17">
      <c r="A164" t="s">
        <v>175</v>
      </c>
      <c r="B164" t="s">
        <v>118</v>
      </c>
      <c r="C164" s="3">
        <v>11.10493597</v>
      </c>
      <c r="D164" s="3">
        <v>6.3137808440000001</v>
      </c>
      <c r="E164" s="3">
        <v>4.6946698380000003</v>
      </c>
      <c r="F164" s="3">
        <v>5.3835671170000001</v>
      </c>
      <c r="G164" s="3">
        <v>0.70173544600000004</v>
      </c>
      <c r="H164" s="3">
        <v>1.0172698019999999</v>
      </c>
      <c r="I164" s="3">
        <v>0.16463952600000001</v>
      </c>
      <c r="J164" s="3">
        <v>11.18894001</v>
      </c>
      <c r="K164" s="3">
        <v>5.3122593179999997</v>
      </c>
      <c r="L164" s="3">
        <v>45.703948709999999</v>
      </c>
      <c r="M164" s="3">
        <f t="shared" si="5"/>
        <v>16.488503086999998</v>
      </c>
      <c r="N164" s="3">
        <f>D164+G164+K164+E164</f>
        <v>17.022445445999999</v>
      </c>
      <c r="O164" s="3">
        <f t="shared" si="6"/>
        <v>58.074798047999998</v>
      </c>
      <c r="P164" s="3">
        <v>56.892888720000002</v>
      </c>
      <c r="Q164" s="3">
        <v>0.398551341</v>
      </c>
    </row>
    <row r="165" spans="1:17">
      <c r="A165" t="s">
        <v>176</v>
      </c>
      <c r="B165" t="s">
        <v>118</v>
      </c>
      <c r="C165" s="3">
        <v>11.10493597</v>
      </c>
      <c r="D165" s="3">
        <v>6.3137808440000001</v>
      </c>
      <c r="E165" s="3">
        <v>4.6946698380000003</v>
      </c>
      <c r="F165" s="3">
        <v>5.3835671170000001</v>
      </c>
      <c r="G165" s="3">
        <v>0.70173544600000004</v>
      </c>
      <c r="H165" s="3">
        <v>1.0172698019999999</v>
      </c>
      <c r="I165" s="3">
        <v>0.16463952600000001</v>
      </c>
      <c r="J165" s="3">
        <v>11.18894001</v>
      </c>
      <c r="K165" s="3">
        <v>5.3122593179999997</v>
      </c>
      <c r="L165" s="3">
        <v>45.703948709999999</v>
      </c>
      <c r="M165" s="3">
        <f t="shared" si="5"/>
        <v>16.488503086999998</v>
      </c>
      <c r="N165" s="3">
        <f>D165+G165+K165+E165</f>
        <v>17.022445445999999</v>
      </c>
      <c r="O165" s="3">
        <f t="shared" si="6"/>
        <v>58.074798047999998</v>
      </c>
      <c r="P165" s="3">
        <v>56.892888720000002</v>
      </c>
      <c r="Q165" s="3">
        <v>0.398551341</v>
      </c>
    </row>
    <row r="166" spans="1:17">
      <c r="A166" t="s">
        <v>177</v>
      </c>
      <c r="B166" t="s">
        <v>118</v>
      </c>
      <c r="C166" s="3">
        <v>11.10493597</v>
      </c>
      <c r="D166" s="3">
        <v>6.3137808440000001</v>
      </c>
      <c r="E166" s="3">
        <v>4.6946698380000003</v>
      </c>
      <c r="F166" s="3">
        <v>5.3835671170000001</v>
      </c>
      <c r="G166" s="3">
        <v>0.70173544600000004</v>
      </c>
      <c r="H166" s="3">
        <v>1.0172698019999999</v>
      </c>
      <c r="I166" s="3">
        <v>0.16463952600000001</v>
      </c>
      <c r="J166" s="3">
        <v>11.18894001</v>
      </c>
      <c r="K166" s="3">
        <v>5.3122593179999997</v>
      </c>
      <c r="L166" s="3">
        <v>45.703948709999999</v>
      </c>
      <c r="M166" s="3">
        <f t="shared" si="5"/>
        <v>16.488503086999998</v>
      </c>
      <c r="N166" s="3">
        <f>D166+G166+K166+E166</f>
        <v>17.022445445999999</v>
      </c>
      <c r="O166" s="3">
        <f t="shared" si="6"/>
        <v>58.074798047999998</v>
      </c>
      <c r="P166" s="3">
        <v>56.892888720000002</v>
      </c>
      <c r="Q166" s="3">
        <v>0.398551341</v>
      </c>
    </row>
    <row r="167" spans="1:17">
      <c r="A167" t="s">
        <v>178</v>
      </c>
      <c r="B167" t="s">
        <v>179</v>
      </c>
      <c r="C167" s="3">
        <v>10.407094130000001</v>
      </c>
      <c r="D167" s="3">
        <v>4.4346627439999997</v>
      </c>
      <c r="E167" s="3">
        <v>3.6218825030000001</v>
      </c>
      <c r="F167" s="3">
        <v>14.75850818</v>
      </c>
      <c r="G167" s="3">
        <v>9.0552565850000004</v>
      </c>
      <c r="H167" s="3">
        <v>0.70070257999999996</v>
      </c>
      <c r="I167" s="3">
        <v>0.12606500000000001</v>
      </c>
      <c r="J167" s="3">
        <v>4.5521823189999999</v>
      </c>
      <c r="K167" s="3">
        <v>4.6612412460000003</v>
      </c>
      <c r="L167" s="3">
        <v>41.064055379999999</v>
      </c>
      <c r="M167" s="3">
        <f t="shared" si="5"/>
        <v>25.165602310000001</v>
      </c>
      <c r="N167" s="3">
        <f>D167+G167+K167+E167</f>
        <v>21.773043078000001</v>
      </c>
      <c r="O167" s="3">
        <f t="shared" si="6"/>
        <v>46.443005278999998</v>
      </c>
      <c r="P167" s="3">
        <v>45.616237699999999</v>
      </c>
      <c r="Q167" s="3">
        <v>9.1813215849999992</v>
      </c>
    </row>
    <row r="168" spans="1:17">
      <c r="A168" t="s">
        <v>180</v>
      </c>
      <c r="B168" t="s">
        <v>179</v>
      </c>
      <c r="C168" s="3">
        <v>10.407094130000001</v>
      </c>
      <c r="D168" s="3">
        <v>4.4346627439999997</v>
      </c>
      <c r="E168" s="3">
        <v>3.6218825030000001</v>
      </c>
      <c r="F168" s="3">
        <v>14.75850818</v>
      </c>
      <c r="G168" s="3">
        <v>9.0552565850000004</v>
      </c>
      <c r="H168" s="3">
        <v>0.70070257999999996</v>
      </c>
      <c r="I168" s="3">
        <v>0.12606500000000001</v>
      </c>
      <c r="J168" s="3">
        <v>4.5521823189999999</v>
      </c>
      <c r="K168" s="3">
        <v>4.6612412460000003</v>
      </c>
      <c r="L168" s="3">
        <v>41.064055379999999</v>
      </c>
      <c r="M168" s="3">
        <f t="shared" si="5"/>
        <v>25.165602310000001</v>
      </c>
      <c r="N168" s="3">
        <f>D168+G168+K168+E168</f>
        <v>21.773043078000001</v>
      </c>
      <c r="O168" s="3">
        <f t="shared" si="6"/>
        <v>46.443005278999998</v>
      </c>
      <c r="P168" s="3">
        <v>45.616237699999999</v>
      </c>
      <c r="Q168" s="3">
        <v>9.1813215849999992</v>
      </c>
    </row>
    <row r="169" spans="1:17">
      <c r="A169" t="s">
        <v>181</v>
      </c>
      <c r="B169" t="s">
        <v>179</v>
      </c>
      <c r="C169" s="3">
        <v>10.407094130000001</v>
      </c>
      <c r="D169" s="3">
        <v>4.4346627439999997</v>
      </c>
      <c r="E169" s="3">
        <v>3.6218825030000001</v>
      </c>
      <c r="F169" s="3">
        <v>14.75850818</v>
      </c>
      <c r="G169" s="3">
        <v>9.0552565850000004</v>
      </c>
      <c r="H169" s="3">
        <v>0.70070257999999996</v>
      </c>
      <c r="I169" s="3">
        <v>0.12606500000000001</v>
      </c>
      <c r="J169" s="3">
        <v>4.5521823189999999</v>
      </c>
      <c r="K169" s="3">
        <v>4.6612412460000003</v>
      </c>
      <c r="L169" s="3">
        <v>41.064055379999999</v>
      </c>
      <c r="M169" s="3">
        <f t="shared" si="5"/>
        <v>25.165602310000001</v>
      </c>
      <c r="N169" s="3">
        <f>D169+G169+K169+E169</f>
        <v>21.773043078000001</v>
      </c>
      <c r="O169" s="3">
        <f t="shared" si="6"/>
        <v>46.443005278999998</v>
      </c>
      <c r="P169" s="3">
        <v>45.616237699999999</v>
      </c>
      <c r="Q169" s="3">
        <v>9.1813215849999992</v>
      </c>
    </row>
    <row r="170" spans="1:17">
      <c r="A170" t="s">
        <v>182</v>
      </c>
      <c r="B170" t="s">
        <v>179</v>
      </c>
      <c r="C170" s="3">
        <v>9.177346623</v>
      </c>
      <c r="D170" s="3">
        <v>5.6494334110000004</v>
      </c>
      <c r="E170" s="3">
        <v>3.5128705010000001</v>
      </c>
      <c r="F170" s="3">
        <v>20.744272859999999</v>
      </c>
      <c r="G170" s="3">
        <v>10.846689700000001</v>
      </c>
      <c r="H170" s="3">
        <v>0.79101450500000003</v>
      </c>
      <c r="I170" s="3">
        <v>0.120670939</v>
      </c>
      <c r="J170" s="3">
        <v>3.5737648740000001</v>
      </c>
      <c r="K170" s="3">
        <v>4.1068694250000002</v>
      </c>
      <c r="L170" s="3">
        <v>34.76982692</v>
      </c>
      <c r="M170" s="3">
        <f t="shared" si="5"/>
        <v>29.921619483000001</v>
      </c>
      <c r="N170" s="3">
        <f>D170+G170+K170+E170</f>
        <v>24.115863037000004</v>
      </c>
      <c r="O170" s="3">
        <f t="shared" si="6"/>
        <v>39.255277237999998</v>
      </c>
      <c r="P170" s="3">
        <v>38.343591789999998</v>
      </c>
      <c r="Q170" s="3">
        <v>10.967360640000001</v>
      </c>
    </row>
    <row r="171" spans="1:17">
      <c r="A171" t="s">
        <v>183</v>
      </c>
      <c r="B171" t="s">
        <v>179</v>
      </c>
      <c r="C171" s="3">
        <v>9.177346623</v>
      </c>
      <c r="D171" s="3">
        <v>5.6494334110000004</v>
      </c>
      <c r="E171" s="3">
        <v>3.5128705010000001</v>
      </c>
      <c r="F171" s="3">
        <v>20.744272859999999</v>
      </c>
      <c r="G171" s="3">
        <v>10.846689700000001</v>
      </c>
      <c r="H171" s="3">
        <v>0.79101450500000003</v>
      </c>
      <c r="I171" s="3">
        <v>0.120670939</v>
      </c>
      <c r="J171" s="3">
        <v>3.5737648740000001</v>
      </c>
      <c r="K171" s="3">
        <v>4.1068694250000002</v>
      </c>
      <c r="L171" s="3">
        <v>34.76982692</v>
      </c>
      <c r="M171" s="3">
        <f t="shared" si="5"/>
        <v>29.921619483000001</v>
      </c>
      <c r="N171" s="3">
        <f>D171+G171+K171+E171</f>
        <v>24.115863037000004</v>
      </c>
      <c r="O171" s="3">
        <f t="shared" si="6"/>
        <v>39.255277237999998</v>
      </c>
      <c r="P171" s="3">
        <v>38.343591789999998</v>
      </c>
      <c r="Q171" s="3">
        <v>10.967360640000001</v>
      </c>
    </row>
    <row r="172" spans="1:17">
      <c r="A172" t="s">
        <v>184</v>
      </c>
      <c r="B172" t="s">
        <v>179</v>
      </c>
      <c r="C172" s="3">
        <v>9.177346623</v>
      </c>
      <c r="D172" s="3">
        <v>5.6494334110000004</v>
      </c>
      <c r="E172" s="3">
        <v>3.5128705010000001</v>
      </c>
      <c r="F172" s="3">
        <v>20.744272859999999</v>
      </c>
      <c r="G172" s="3">
        <v>10.846689700000001</v>
      </c>
      <c r="H172" s="3">
        <v>0.79101450500000003</v>
      </c>
      <c r="I172" s="3">
        <v>0.120670939</v>
      </c>
      <c r="J172" s="3">
        <v>3.5737648740000001</v>
      </c>
      <c r="K172" s="3">
        <v>4.1068694250000002</v>
      </c>
      <c r="L172" s="3">
        <v>34.76982692</v>
      </c>
      <c r="M172" s="3">
        <f t="shared" si="5"/>
        <v>29.921619483000001</v>
      </c>
      <c r="N172" s="3">
        <f>D172+G172+K172+E172</f>
        <v>24.115863037000004</v>
      </c>
      <c r="O172" s="3">
        <f t="shared" si="6"/>
        <v>39.255277237999998</v>
      </c>
      <c r="P172" s="3">
        <v>38.343591789999998</v>
      </c>
      <c r="Q172" s="3">
        <v>10.967360640000001</v>
      </c>
    </row>
    <row r="173" spans="1:17">
      <c r="A173" t="s">
        <v>185</v>
      </c>
      <c r="B173" t="s">
        <v>179</v>
      </c>
      <c r="C173" s="3">
        <v>10.65307305</v>
      </c>
      <c r="D173" s="3">
        <v>4.7331535459999996</v>
      </c>
      <c r="E173" s="3">
        <v>3.6331847100000001</v>
      </c>
      <c r="F173" s="3">
        <v>18.5380523</v>
      </c>
      <c r="G173" s="3">
        <v>10.32483131</v>
      </c>
      <c r="H173" s="3">
        <v>0.75459072900000002</v>
      </c>
      <c r="I173" s="3">
        <v>0.118940869</v>
      </c>
      <c r="J173" s="3">
        <v>3.4567372019999998</v>
      </c>
      <c r="K173" s="3">
        <v>4.3742017860000004</v>
      </c>
      <c r="L173" s="3">
        <v>35.740140799999999</v>
      </c>
      <c r="M173" s="3">
        <f t="shared" si="5"/>
        <v>29.19112535</v>
      </c>
      <c r="N173" s="3">
        <f>D173+G173+K173+E173</f>
        <v>23.065371352</v>
      </c>
      <c r="O173" s="3">
        <f t="shared" si="6"/>
        <v>40.070409599999998</v>
      </c>
      <c r="P173" s="3">
        <v>39.196877999999998</v>
      </c>
      <c r="Q173" s="3">
        <v>10.44377218</v>
      </c>
    </row>
    <row r="174" spans="1:17">
      <c r="A174" t="s">
        <v>186</v>
      </c>
      <c r="B174" t="s">
        <v>179</v>
      </c>
      <c r="C174" s="3">
        <v>10.65307305</v>
      </c>
      <c r="D174" s="3">
        <v>4.7331535459999996</v>
      </c>
      <c r="E174" s="3">
        <v>3.6331847100000001</v>
      </c>
      <c r="F174" s="3">
        <v>18.5380523</v>
      </c>
      <c r="G174" s="3">
        <v>10.32483131</v>
      </c>
      <c r="H174" s="3">
        <v>0.75459072900000002</v>
      </c>
      <c r="I174" s="3">
        <v>0.118940869</v>
      </c>
      <c r="J174" s="3">
        <v>3.4567372019999998</v>
      </c>
      <c r="K174" s="3">
        <v>4.3742017860000004</v>
      </c>
      <c r="L174" s="3">
        <v>35.740140799999999</v>
      </c>
      <c r="M174" s="3">
        <f t="shared" si="5"/>
        <v>29.19112535</v>
      </c>
      <c r="N174" s="3">
        <f>D174+G174+K174+E174</f>
        <v>23.065371352</v>
      </c>
      <c r="O174" s="3">
        <f t="shared" si="6"/>
        <v>40.070409599999998</v>
      </c>
      <c r="P174" s="3">
        <v>39.196877999999998</v>
      </c>
      <c r="Q174" s="3">
        <v>10.44377218</v>
      </c>
    </row>
    <row r="175" spans="1:17">
      <c r="A175" t="s">
        <v>187</v>
      </c>
      <c r="B175" t="s">
        <v>179</v>
      </c>
      <c r="C175" s="3">
        <v>10.65307305</v>
      </c>
      <c r="D175" s="3">
        <v>4.7331535459999996</v>
      </c>
      <c r="E175" s="3">
        <v>3.6331847100000001</v>
      </c>
      <c r="F175" s="3">
        <v>18.5380523</v>
      </c>
      <c r="G175" s="3">
        <v>10.32483131</v>
      </c>
      <c r="H175" s="3">
        <v>0.75459072900000002</v>
      </c>
      <c r="I175" s="3">
        <v>0.118940869</v>
      </c>
      <c r="J175" s="3">
        <v>3.4567372019999998</v>
      </c>
      <c r="K175" s="3">
        <v>4.3742017860000004</v>
      </c>
      <c r="L175" s="3">
        <v>35.740140799999999</v>
      </c>
      <c r="M175" s="3">
        <f t="shared" si="5"/>
        <v>29.19112535</v>
      </c>
      <c r="N175" s="3">
        <f>D175+G175+K175+E175</f>
        <v>23.065371352</v>
      </c>
      <c r="O175" s="3">
        <f t="shared" si="6"/>
        <v>40.070409599999998</v>
      </c>
      <c r="P175" s="3">
        <v>39.196877999999998</v>
      </c>
      <c r="Q175" s="3">
        <v>10.44377218</v>
      </c>
    </row>
    <row r="176" spans="1:17">
      <c r="A176" t="s">
        <v>188</v>
      </c>
      <c r="B176" t="s">
        <v>189</v>
      </c>
      <c r="C176" s="3">
        <v>9.8311070600000008</v>
      </c>
      <c r="D176" s="3">
        <v>5.6981770034999997</v>
      </c>
      <c r="E176" s="3">
        <v>3.7623648924999999</v>
      </c>
      <c r="F176" s="3">
        <v>9.1351142809999999</v>
      </c>
      <c r="G176" s="3">
        <v>2.695915989</v>
      </c>
      <c r="H176" s="3">
        <v>1.0472430079999999</v>
      </c>
      <c r="I176" s="3">
        <v>0.1285856605</v>
      </c>
      <c r="J176" s="3">
        <v>8.9362764864999988</v>
      </c>
      <c r="K176" s="3">
        <v>5.7033452249999996</v>
      </c>
      <c r="L176" s="3">
        <v>44.927913390000001</v>
      </c>
      <c r="M176" s="3">
        <f t="shared" si="5"/>
        <v>18.966221341000001</v>
      </c>
      <c r="N176" s="3">
        <f>D176+G176+K176+E176</f>
        <v>17.859803109999998</v>
      </c>
      <c r="O176" s="3">
        <f t="shared" si="6"/>
        <v>55.040018545000002</v>
      </c>
      <c r="P176" s="3">
        <v>53.864189875000001</v>
      </c>
      <c r="Q176" s="3">
        <v>2.8245016495000002</v>
      </c>
    </row>
    <row r="177" spans="1:17">
      <c r="A177" t="s">
        <v>190</v>
      </c>
      <c r="B177" t="s">
        <v>189</v>
      </c>
      <c r="C177" s="3">
        <v>9.8311070600000008</v>
      </c>
      <c r="D177" s="3">
        <v>5.6981770034999997</v>
      </c>
      <c r="E177" s="3">
        <v>3.7623648924999999</v>
      </c>
      <c r="F177" s="3">
        <v>9.1351142809999999</v>
      </c>
      <c r="G177" s="3">
        <v>2.695915989</v>
      </c>
      <c r="H177" s="3">
        <v>1.0472430079999999</v>
      </c>
      <c r="I177" s="3">
        <v>0.1285856605</v>
      </c>
      <c r="J177" s="3">
        <v>8.9362764864999988</v>
      </c>
      <c r="K177" s="3">
        <v>5.7033452249999996</v>
      </c>
      <c r="L177" s="3">
        <v>44.927913390000001</v>
      </c>
      <c r="M177" s="3">
        <f t="shared" si="5"/>
        <v>18.966221341000001</v>
      </c>
      <c r="N177" s="3">
        <f>D177+G177+K177+E177</f>
        <v>17.859803109999998</v>
      </c>
      <c r="O177" s="3">
        <f t="shared" si="6"/>
        <v>55.040018545000002</v>
      </c>
      <c r="P177" s="3">
        <v>53.864189875000001</v>
      </c>
      <c r="Q177" s="3">
        <v>2.8245016495000002</v>
      </c>
    </row>
    <row r="178" spans="1:17">
      <c r="A178" t="s">
        <v>191</v>
      </c>
      <c r="B178" t="s">
        <v>189</v>
      </c>
      <c r="C178" s="3">
        <v>9.8311070600000008</v>
      </c>
      <c r="D178" s="3">
        <v>5.6981770034999997</v>
      </c>
      <c r="E178" s="3">
        <v>3.7623648924999999</v>
      </c>
      <c r="F178" s="3">
        <v>9.1351142809999999</v>
      </c>
      <c r="G178" s="3">
        <v>2.695915989</v>
      </c>
      <c r="H178" s="3">
        <v>1.0472430079999999</v>
      </c>
      <c r="I178" s="3">
        <v>0.1285856605</v>
      </c>
      <c r="J178" s="3">
        <v>8.9362764864999988</v>
      </c>
      <c r="K178" s="3">
        <v>5.7033452249999996</v>
      </c>
      <c r="L178" s="3">
        <v>44.927913390000001</v>
      </c>
      <c r="M178" s="3">
        <f t="shared" si="5"/>
        <v>18.966221341000001</v>
      </c>
      <c r="N178" s="3">
        <f>D178+G178+K178+E178</f>
        <v>17.859803109999998</v>
      </c>
      <c r="O178" s="3">
        <f t="shared" si="6"/>
        <v>55.040018545000002</v>
      </c>
      <c r="P178" s="3">
        <v>53.864189875000001</v>
      </c>
      <c r="Q178" s="3">
        <v>2.8245016495000002</v>
      </c>
    </row>
    <row r="179" spans="1:17">
      <c r="A179" t="s">
        <v>192</v>
      </c>
      <c r="B179" t="s">
        <v>189</v>
      </c>
      <c r="C179" s="3">
        <v>8.7763201899999999</v>
      </c>
      <c r="D179" s="3">
        <v>3.5395604999999999</v>
      </c>
      <c r="E179" s="3">
        <v>3.6791666670000001</v>
      </c>
      <c r="F179" s="3">
        <v>7.1706514930000003</v>
      </c>
      <c r="G179" s="3">
        <v>2.111133202</v>
      </c>
      <c r="H179" s="3">
        <v>0.72424629799999996</v>
      </c>
      <c r="I179" s="3">
        <v>0.15569962300000001</v>
      </c>
      <c r="J179" s="3">
        <v>9.1854321819999996</v>
      </c>
      <c r="K179" s="3">
        <v>5.3694809289999998</v>
      </c>
      <c r="L179" s="3">
        <v>51.617461609999999</v>
      </c>
      <c r="M179" s="3">
        <f t="shared" si="5"/>
        <v>15.946971683000001</v>
      </c>
      <c r="N179" s="3">
        <f>D179+G179+K179+E179</f>
        <v>14.699341298</v>
      </c>
      <c r="O179" s="3">
        <f t="shared" si="6"/>
        <v>61.682839713</v>
      </c>
      <c r="P179" s="3">
        <v>60.802893789999999</v>
      </c>
      <c r="Q179" s="3">
        <v>2.2668328249999998</v>
      </c>
    </row>
    <row r="180" spans="1:17">
      <c r="A180" t="s">
        <v>193</v>
      </c>
      <c r="B180" t="s">
        <v>189</v>
      </c>
      <c r="C180" s="3">
        <v>8.7763201899999999</v>
      </c>
      <c r="D180" s="3">
        <v>3.5395604999999999</v>
      </c>
      <c r="E180" s="3">
        <v>3.6791666670000001</v>
      </c>
      <c r="F180" s="3">
        <v>7.1706514930000003</v>
      </c>
      <c r="G180" s="3">
        <v>2.111133202</v>
      </c>
      <c r="H180" s="3">
        <v>0.72424629799999996</v>
      </c>
      <c r="I180" s="3">
        <v>0.15569962300000001</v>
      </c>
      <c r="J180" s="3">
        <v>9.1854321819999996</v>
      </c>
      <c r="K180" s="3">
        <v>5.3694809289999998</v>
      </c>
      <c r="L180" s="3">
        <v>51.617461609999999</v>
      </c>
      <c r="M180" s="3">
        <f t="shared" si="5"/>
        <v>15.946971683000001</v>
      </c>
      <c r="N180" s="3">
        <f>D180+G180+K180+E180</f>
        <v>14.699341298</v>
      </c>
      <c r="O180" s="3">
        <f t="shared" si="6"/>
        <v>61.682839713</v>
      </c>
      <c r="P180" s="3">
        <v>60.802893789999999</v>
      </c>
      <c r="Q180" s="3">
        <v>2.2668328249999998</v>
      </c>
    </row>
    <row r="181" spans="1:17">
      <c r="A181" t="s">
        <v>194</v>
      </c>
      <c r="B181" t="s">
        <v>189</v>
      </c>
      <c r="C181" s="3">
        <v>8.7763201899999999</v>
      </c>
      <c r="D181" s="3">
        <v>3.5395604999999999</v>
      </c>
      <c r="E181" s="3">
        <v>3.6791666670000001</v>
      </c>
      <c r="F181" s="3">
        <v>7.1706514930000003</v>
      </c>
      <c r="G181" s="3">
        <v>2.111133202</v>
      </c>
      <c r="H181" s="3">
        <v>0.72424629799999996</v>
      </c>
      <c r="I181" s="3">
        <v>0.15569962300000001</v>
      </c>
      <c r="J181" s="3">
        <v>9.1854321819999996</v>
      </c>
      <c r="K181" s="3">
        <v>5.3694809289999998</v>
      </c>
      <c r="L181" s="3">
        <v>51.617461609999999</v>
      </c>
      <c r="M181" s="3">
        <f t="shared" si="5"/>
        <v>15.946971683000001</v>
      </c>
      <c r="N181" s="3">
        <f>D181+G181+K181+E181</f>
        <v>14.699341298</v>
      </c>
      <c r="O181" s="3">
        <f t="shared" si="6"/>
        <v>61.682839713</v>
      </c>
      <c r="P181" s="3">
        <v>60.802893789999999</v>
      </c>
      <c r="Q181" s="3">
        <v>2.2668328249999998</v>
      </c>
    </row>
    <row r="182" spans="1:17">
      <c r="A182" t="s">
        <v>195</v>
      </c>
      <c r="B182" t="s">
        <v>189</v>
      </c>
      <c r="C182" s="3">
        <v>9.1693844994999996</v>
      </c>
      <c r="D182" s="3">
        <v>4.4520908595000002</v>
      </c>
      <c r="E182" s="3">
        <v>3.6841265475</v>
      </c>
      <c r="F182" s="3">
        <v>7.7851244314999999</v>
      </c>
      <c r="G182" s="3">
        <v>2.9740311239999997</v>
      </c>
      <c r="H182" s="3">
        <v>0.88715383199999998</v>
      </c>
      <c r="I182" s="3">
        <v>0.15865430050000001</v>
      </c>
      <c r="J182" s="3">
        <v>8.3697878484999997</v>
      </c>
      <c r="K182" s="3">
        <v>5.7110669490000001</v>
      </c>
      <c r="L182" s="3">
        <v>49.016410989999997</v>
      </c>
      <c r="M182" s="3">
        <f t="shared" si="5"/>
        <v>16.954508930999999</v>
      </c>
      <c r="N182" s="3">
        <f>D182+G182+K182+E182</f>
        <v>16.821315479999999</v>
      </c>
      <c r="O182" s="3">
        <f t="shared" si="6"/>
        <v>58.432006970999993</v>
      </c>
      <c r="P182" s="3">
        <v>57.386198840000006</v>
      </c>
      <c r="Q182" s="3">
        <v>3.1326854239999999</v>
      </c>
    </row>
    <row r="183" spans="1:17">
      <c r="A183" t="s">
        <v>196</v>
      </c>
      <c r="B183" t="s">
        <v>189</v>
      </c>
      <c r="C183" s="3">
        <v>9.1693844994999996</v>
      </c>
      <c r="D183" s="3">
        <v>4.4520908595000002</v>
      </c>
      <c r="E183" s="3">
        <v>3.6841265475</v>
      </c>
      <c r="F183" s="3">
        <v>7.7851244314999999</v>
      </c>
      <c r="G183" s="3">
        <v>2.9740311239999997</v>
      </c>
      <c r="H183" s="3">
        <v>0.88715383199999998</v>
      </c>
      <c r="I183" s="3">
        <v>0.15865430050000001</v>
      </c>
      <c r="J183" s="3">
        <v>8.3697878484999997</v>
      </c>
      <c r="K183" s="3">
        <v>5.7110669490000001</v>
      </c>
      <c r="L183" s="3">
        <v>49.016410989999997</v>
      </c>
      <c r="M183" s="3">
        <f t="shared" si="5"/>
        <v>16.954508930999999</v>
      </c>
      <c r="N183" s="3">
        <f>D183+G183+K183+E183</f>
        <v>16.821315479999999</v>
      </c>
      <c r="O183" s="3">
        <f t="shared" si="6"/>
        <v>58.432006970999993</v>
      </c>
      <c r="P183" s="3">
        <v>57.386198840000006</v>
      </c>
      <c r="Q183" s="3">
        <v>3.1326854239999999</v>
      </c>
    </row>
    <row r="184" spans="1:17">
      <c r="A184" t="s">
        <v>197</v>
      </c>
      <c r="B184" t="s">
        <v>189</v>
      </c>
      <c r="C184">
        <v>9.1693844994999996</v>
      </c>
      <c r="D184">
        <v>4.4520908595000002</v>
      </c>
      <c r="E184">
        <v>3.6841265475</v>
      </c>
      <c r="F184">
        <v>7.7851244314999999</v>
      </c>
      <c r="G184">
        <v>2.9740311239999997</v>
      </c>
      <c r="H184">
        <v>0.88715383199999998</v>
      </c>
      <c r="I184">
        <v>0.15865430050000001</v>
      </c>
      <c r="J184">
        <v>8.3697878484999997</v>
      </c>
      <c r="K184">
        <v>5.7110669490000001</v>
      </c>
      <c r="L184">
        <v>49.016410989999997</v>
      </c>
      <c r="M184" s="3">
        <f t="shared" si="5"/>
        <v>16.954508930999999</v>
      </c>
      <c r="N184" s="3">
        <f>D184+G184+K184+E184</f>
        <v>16.821315479999999</v>
      </c>
      <c r="O184" s="3">
        <f t="shared" si="6"/>
        <v>58.432006970999993</v>
      </c>
      <c r="P184">
        <v>57.386198840000006</v>
      </c>
      <c r="Q184">
        <v>3.1326854239999999</v>
      </c>
    </row>
    <row r="185" spans="1:17">
      <c r="A185" t="s">
        <v>198</v>
      </c>
      <c r="B185" t="s">
        <v>189</v>
      </c>
      <c r="C185" s="3">
        <v>10.199927260000001</v>
      </c>
      <c r="D185" s="3">
        <v>6.3577951910000001</v>
      </c>
      <c r="E185" s="3">
        <v>3.7472822400000001</v>
      </c>
      <c r="F185" s="3">
        <v>11.45844234</v>
      </c>
      <c r="G185" s="3">
        <v>4.5428026350000001</v>
      </c>
      <c r="H185" s="3">
        <v>0.83852479400000002</v>
      </c>
      <c r="I185" s="3">
        <v>0.128298616</v>
      </c>
      <c r="J185" s="3">
        <v>7.3941933439999996</v>
      </c>
      <c r="K185" s="3">
        <v>4.9968456139999997</v>
      </c>
      <c r="L185" s="3">
        <v>43.046029900000001</v>
      </c>
      <c r="M185" s="3">
        <f t="shared" si="5"/>
        <v>21.6583696</v>
      </c>
      <c r="N185" s="3">
        <f>D185+G185+K185+E185</f>
        <v>19.644725680000001</v>
      </c>
      <c r="O185" s="3">
        <f t="shared" si="6"/>
        <v>51.407046653999998</v>
      </c>
      <c r="P185" s="3">
        <v>50.440223240000002</v>
      </c>
      <c r="Q185" s="3">
        <v>4.6711012500000004</v>
      </c>
    </row>
    <row r="186" spans="1:17">
      <c r="A186" t="s">
        <v>199</v>
      </c>
      <c r="B186" t="s">
        <v>189</v>
      </c>
      <c r="C186" s="3">
        <v>10.199927260000001</v>
      </c>
      <c r="D186" s="3">
        <v>6.3577951910000001</v>
      </c>
      <c r="E186" s="3">
        <v>3.7472822400000001</v>
      </c>
      <c r="F186" s="3">
        <v>11.45844234</v>
      </c>
      <c r="G186" s="3">
        <v>4.5428026350000001</v>
      </c>
      <c r="H186" s="3">
        <v>0.83852479400000002</v>
      </c>
      <c r="I186" s="3">
        <v>0.128298616</v>
      </c>
      <c r="J186" s="3">
        <v>7.3941933439999996</v>
      </c>
      <c r="K186" s="3">
        <v>4.9968456139999997</v>
      </c>
      <c r="L186" s="3">
        <v>43.046029900000001</v>
      </c>
      <c r="M186" s="3">
        <f t="shared" si="5"/>
        <v>21.6583696</v>
      </c>
      <c r="N186" s="3">
        <f>D186+G186+K186+E186</f>
        <v>19.644725680000001</v>
      </c>
      <c r="O186" s="3">
        <f t="shared" si="6"/>
        <v>51.407046653999998</v>
      </c>
      <c r="P186" s="3">
        <v>50.440223240000002</v>
      </c>
      <c r="Q186" s="3">
        <v>4.6711012500000004</v>
      </c>
    </row>
    <row r="187" spans="1:17">
      <c r="A187" t="s">
        <v>200</v>
      </c>
      <c r="B187" t="s">
        <v>189</v>
      </c>
      <c r="C187" s="3">
        <v>10.199927260000001</v>
      </c>
      <c r="D187" s="3">
        <v>6.3577951910000001</v>
      </c>
      <c r="E187" s="3">
        <v>3.7472822400000001</v>
      </c>
      <c r="F187" s="3">
        <v>11.45844234</v>
      </c>
      <c r="G187" s="3">
        <v>4.5428026350000001</v>
      </c>
      <c r="H187" s="3">
        <v>0.83852479400000002</v>
      </c>
      <c r="I187" s="3">
        <v>0.128298616</v>
      </c>
      <c r="J187" s="3">
        <v>7.3941933439999996</v>
      </c>
      <c r="K187" s="3">
        <v>4.9968456139999997</v>
      </c>
      <c r="L187" s="3">
        <v>43.046029900000001</v>
      </c>
      <c r="M187" s="3">
        <f t="shared" si="5"/>
        <v>21.6583696</v>
      </c>
      <c r="N187" s="3">
        <f>D187+G187+K187+E187</f>
        <v>19.644725680000001</v>
      </c>
      <c r="O187" s="3">
        <f t="shared" si="6"/>
        <v>51.407046653999998</v>
      </c>
      <c r="P187" s="3">
        <v>50.440223240000002</v>
      </c>
      <c r="Q187" s="3">
        <v>4.6711012500000004</v>
      </c>
    </row>
    <row r="188" spans="1:17">
      <c r="A188" t="s">
        <v>201</v>
      </c>
      <c r="B188" t="s">
        <v>189</v>
      </c>
      <c r="C188" s="3">
        <v>10.272471940000001</v>
      </c>
      <c r="D188" s="3">
        <v>6.4390448759999996</v>
      </c>
      <c r="E188" s="3">
        <v>4.1765712920000002</v>
      </c>
      <c r="F188" s="3">
        <v>10.07149433</v>
      </c>
      <c r="G188" s="3">
        <v>3.9591409070000001</v>
      </c>
      <c r="H188" s="3">
        <v>0.92799218000000006</v>
      </c>
      <c r="I188" s="3">
        <v>0.182945688</v>
      </c>
      <c r="J188" s="3">
        <v>6.5162001979999999</v>
      </c>
      <c r="K188" s="3">
        <v>5.3252569259999998</v>
      </c>
      <c r="L188" s="3">
        <v>44.542354250000002</v>
      </c>
      <c r="M188" s="3">
        <f t="shared" si="5"/>
        <v>20.343966270000003</v>
      </c>
      <c r="N188" s="3">
        <f>D188+G188+K188+E188</f>
        <v>19.900014000999999</v>
      </c>
      <c r="O188" s="3">
        <f t="shared" si="6"/>
        <v>52.169492316000003</v>
      </c>
      <c r="P188" s="3">
        <v>51.058554440000002</v>
      </c>
      <c r="Q188" s="3">
        <v>4.1420865950000003</v>
      </c>
    </row>
    <row r="189" spans="1:17">
      <c r="A189" t="s">
        <v>202</v>
      </c>
      <c r="B189" t="s">
        <v>189</v>
      </c>
      <c r="C189" s="3">
        <v>10.272471940000001</v>
      </c>
      <c r="D189" s="3">
        <v>6.4390448759999996</v>
      </c>
      <c r="E189" s="3">
        <v>4.1765712920000002</v>
      </c>
      <c r="F189" s="3">
        <v>10.07149433</v>
      </c>
      <c r="G189" s="3">
        <v>3.9591409070000001</v>
      </c>
      <c r="H189" s="3">
        <v>0.92799218000000006</v>
      </c>
      <c r="I189" s="3">
        <v>0.182945688</v>
      </c>
      <c r="J189" s="3">
        <v>6.5162001979999999</v>
      </c>
      <c r="K189" s="3">
        <v>5.3252569259999998</v>
      </c>
      <c r="L189" s="3">
        <v>44.542354250000002</v>
      </c>
      <c r="M189" s="3">
        <f t="shared" si="5"/>
        <v>20.343966270000003</v>
      </c>
      <c r="N189" s="3">
        <f>D189+G189+K189+E189</f>
        <v>19.900014000999999</v>
      </c>
      <c r="O189" s="3">
        <f t="shared" si="6"/>
        <v>52.169492316000003</v>
      </c>
      <c r="P189" s="3">
        <v>51.058554440000002</v>
      </c>
      <c r="Q189" s="3">
        <v>4.1420865950000003</v>
      </c>
    </row>
    <row r="190" spans="1:17">
      <c r="A190" t="s">
        <v>203</v>
      </c>
      <c r="B190" t="s">
        <v>189</v>
      </c>
      <c r="C190" s="3">
        <v>10.272471940000001</v>
      </c>
      <c r="D190" s="3">
        <v>6.4390448759999996</v>
      </c>
      <c r="E190" s="3">
        <v>4.1765712920000002</v>
      </c>
      <c r="F190" s="3">
        <v>10.07149433</v>
      </c>
      <c r="G190" s="3">
        <v>3.9591409070000001</v>
      </c>
      <c r="H190" s="3">
        <v>0.92799218000000006</v>
      </c>
      <c r="I190" s="3">
        <v>0.182945688</v>
      </c>
      <c r="J190" s="3">
        <v>6.5162001979999999</v>
      </c>
      <c r="K190" s="3">
        <v>5.3252569259999998</v>
      </c>
      <c r="L190" s="3">
        <v>44.542354250000002</v>
      </c>
      <c r="M190" s="3">
        <f t="shared" si="5"/>
        <v>20.343966270000003</v>
      </c>
      <c r="N190" s="3">
        <f>D190+G190+K190+E190</f>
        <v>19.900014000999999</v>
      </c>
      <c r="O190" s="3">
        <f t="shared" si="6"/>
        <v>52.169492316000003</v>
      </c>
      <c r="P190" s="3">
        <v>51.058554440000002</v>
      </c>
      <c r="Q190" s="3">
        <v>4.1420865950000003</v>
      </c>
    </row>
    <row r="191" spans="1:17">
      <c r="A191" t="s">
        <v>204</v>
      </c>
      <c r="B191" t="s">
        <v>189</v>
      </c>
      <c r="C191" s="3">
        <v>9.7321986819999999</v>
      </c>
      <c r="D191" s="3">
        <v>8.8693392119999999</v>
      </c>
      <c r="E191" s="3">
        <v>3.45361268</v>
      </c>
      <c r="F191" s="3">
        <v>10.87570753</v>
      </c>
      <c r="G191" s="3">
        <v>5.9613206029999999</v>
      </c>
      <c r="H191" s="3">
        <v>0.59757247499999999</v>
      </c>
      <c r="I191" s="3">
        <v>0.17408458099999999</v>
      </c>
      <c r="J191" s="3">
        <v>6.8612753250000003</v>
      </c>
      <c r="K191" s="3">
        <v>4.3731219880000003</v>
      </c>
      <c r="L191" s="3">
        <v>42.576577729999997</v>
      </c>
      <c r="M191" s="3">
        <f t="shared" si="5"/>
        <v>20.607906212</v>
      </c>
      <c r="N191" s="3">
        <f>D191+G191+K191+E191</f>
        <v>22.657394483000001</v>
      </c>
      <c r="O191" s="3">
        <f t="shared" si="6"/>
        <v>50.209510111</v>
      </c>
      <c r="P191" s="3">
        <v>49.437853050000001</v>
      </c>
      <c r="Q191" s="3">
        <v>6.1354051849999998</v>
      </c>
    </row>
    <row r="192" spans="1:17">
      <c r="A192" t="s">
        <v>205</v>
      </c>
      <c r="B192" t="s">
        <v>189</v>
      </c>
      <c r="C192" s="3">
        <v>9.7321986819999999</v>
      </c>
      <c r="D192" s="3">
        <v>8.8693392119999999</v>
      </c>
      <c r="E192" s="3">
        <v>3.45361268</v>
      </c>
      <c r="F192" s="3">
        <v>10.87570753</v>
      </c>
      <c r="G192" s="3">
        <v>5.9613206029999999</v>
      </c>
      <c r="H192" s="3">
        <v>0.59757247499999999</v>
      </c>
      <c r="I192" s="3">
        <v>0.17408458099999999</v>
      </c>
      <c r="J192" s="3">
        <v>6.8612753250000003</v>
      </c>
      <c r="K192" s="3">
        <v>4.3731219880000003</v>
      </c>
      <c r="L192" s="3">
        <v>42.576577729999997</v>
      </c>
      <c r="M192" s="3">
        <f t="shared" si="5"/>
        <v>20.607906212</v>
      </c>
      <c r="N192" s="3">
        <f>D192+G192+K192+E192</f>
        <v>22.657394483000001</v>
      </c>
      <c r="O192" s="3">
        <f t="shared" si="6"/>
        <v>50.209510111</v>
      </c>
      <c r="P192" s="3">
        <v>49.437853050000001</v>
      </c>
      <c r="Q192" s="3">
        <v>6.1354051849999998</v>
      </c>
    </row>
    <row r="193" spans="1:46">
      <c r="A193" t="s">
        <v>206</v>
      </c>
      <c r="B193" t="s">
        <v>189</v>
      </c>
      <c r="C193" s="3">
        <v>9.7321986819999999</v>
      </c>
      <c r="D193" s="3">
        <v>8.8693392119999999</v>
      </c>
      <c r="E193" s="3">
        <v>3.45361268</v>
      </c>
      <c r="F193" s="3">
        <v>10.87570753</v>
      </c>
      <c r="G193" s="3">
        <v>5.9613206029999999</v>
      </c>
      <c r="H193" s="3">
        <v>0.59757247499999999</v>
      </c>
      <c r="I193" s="3">
        <v>0.17408458099999999</v>
      </c>
      <c r="J193" s="3">
        <v>6.8612753250000003</v>
      </c>
      <c r="K193" s="3">
        <v>4.3731219880000003</v>
      </c>
      <c r="L193" s="3">
        <v>42.576577729999997</v>
      </c>
      <c r="M193" s="3">
        <f t="shared" si="5"/>
        <v>20.607906212</v>
      </c>
      <c r="N193" s="3">
        <f>D193+G193+K193+E193</f>
        <v>22.657394483000001</v>
      </c>
      <c r="O193" s="3">
        <f t="shared" si="6"/>
        <v>50.209510111</v>
      </c>
      <c r="P193" s="3">
        <v>49.437853050000001</v>
      </c>
      <c r="Q193" s="3">
        <v>6.1354051849999998</v>
      </c>
    </row>
    <row r="194" spans="1:46">
      <c r="A194" t="s">
        <v>207</v>
      </c>
      <c r="B194" t="s">
        <v>189</v>
      </c>
      <c r="C194" s="3">
        <v>10.48628136</v>
      </c>
      <c r="D194" s="3">
        <v>7.6641652090000001</v>
      </c>
      <c r="E194" s="3">
        <v>4.0199137580000004</v>
      </c>
      <c r="F194" s="3">
        <v>8.8641786880000009</v>
      </c>
      <c r="G194" s="3">
        <v>4.4406430639999996</v>
      </c>
      <c r="H194" s="3">
        <v>0.78674867900000001</v>
      </c>
      <c r="I194" s="3">
        <v>0.19548990099999999</v>
      </c>
      <c r="J194" s="3">
        <v>8.0886523609999994</v>
      </c>
      <c r="K194" s="3">
        <v>4.7799880010000004</v>
      </c>
      <c r="L194" s="3">
        <v>44.244644299999997</v>
      </c>
      <c r="M194" s="3">
        <f t="shared" si="5"/>
        <v>19.350460048000002</v>
      </c>
      <c r="N194" s="3">
        <f>D194+G194+K194+E194</f>
        <v>20.904710032000001</v>
      </c>
      <c r="O194" s="3">
        <f t="shared" si="6"/>
        <v>53.315535240999999</v>
      </c>
      <c r="P194" s="3">
        <v>52.333296660000002</v>
      </c>
      <c r="Q194" s="3">
        <v>4.6361329639999997</v>
      </c>
    </row>
    <row r="195" spans="1:46">
      <c r="A195" t="s">
        <v>208</v>
      </c>
      <c r="B195" t="s">
        <v>189</v>
      </c>
      <c r="C195" s="3">
        <v>10.48628136</v>
      </c>
      <c r="D195" s="3">
        <v>7.6641652090000001</v>
      </c>
      <c r="E195" s="3">
        <v>4.0199137580000004</v>
      </c>
      <c r="F195" s="3">
        <v>8.8641786880000009</v>
      </c>
      <c r="G195" s="3">
        <v>4.4406430639999996</v>
      </c>
      <c r="H195" s="3">
        <v>0.78674867900000001</v>
      </c>
      <c r="I195" s="3">
        <v>0.19548990099999999</v>
      </c>
      <c r="J195" s="3">
        <v>8.0886523609999994</v>
      </c>
      <c r="K195" s="3">
        <v>4.7799880010000004</v>
      </c>
      <c r="L195" s="3">
        <v>44.244644299999997</v>
      </c>
      <c r="M195" s="3">
        <f t="shared" ref="M195:M258" si="7">C195+F195</f>
        <v>19.350460048000002</v>
      </c>
      <c r="N195" s="3">
        <f>D195+G195+K195+E195</f>
        <v>20.904710032000001</v>
      </c>
      <c r="O195" s="3">
        <f t="shared" si="6"/>
        <v>53.315535240999999</v>
      </c>
      <c r="P195" s="3">
        <v>52.333296660000002</v>
      </c>
      <c r="Q195" s="3">
        <v>4.6361329639999997</v>
      </c>
    </row>
    <row r="196" spans="1:46">
      <c r="A196" t="s">
        <v>209</v>
      </c>
      <c r="B196" t="s">
        <v>189</v>
      </c>
      <c r="C196" s="3">
        <v>10.48628136</v>
      </c>
      <c r="D196" s="3">
        <v>7.6641652090000001</v>
      </c>
      <c r="E196" s="3">
        <v>4.0199137580000004</v>
      </c>
      <c r="F196" s="3">
        <v>8.8641786880000009</v>
      </c>
      <c r="G196" s="3">
        <v>4.4406430639999996</v>
      </c>
      <c r="H196" s="3">
        <v>0.78674867900000001</v>
      </c>
      <c r="I196" s="3">
        <v>0.19548990099999999</v>
      </c>
      <c r="J196" s="3">
        <v>8.0886523609999994</v>
      </c>
      <c r="K196" s="3">
        <v>4.7799880010000004</v>
      </c>
      <c r="L196" s="3">
        <v>44.244644299999997</v>
      </c>
      <c r="M196" s="3">
        <f t="shared" si="7"/>
        <v>19.350460048000002</v>
      </c>
      <c r="N196" s="3">
        <f>D196+G196+K196+E196</f>
        <v>20.904710032000001</v>
      </c>
      <c r="O196" s="3">
        <f t="shared" si="6"/>
        <v>53.315535240999999</v>
      </c>
      <c r="P196" s="3">
        <v>52.333296660000002</v>
      </c>
      <c r="Q196" s="3">
        <v>4.6361329639999997</v>
      </c>
    </row>
    <row r="197" spans="1:46">
      <c r="A197" t="s">
        <v>210</v>
      </c>
      <c r="B197" t="s">
        <v>189</v>
      </c>
      <c r="C197" s="3">
        <v>9.9100387790000006</v>
      </c>
      <c r="D197" s="3">
        <v>6.9714498020000004</v>
      </c>
      <c r="E197" s="3">
        <v>3.5535126250000002</v>
      </c>
      <c r="F197" s="3">
        <v>8.1861612130000001</v>
      </c>
      <c r="G197" s="3">
        <v>4.6698442919999996</v>
      </c>
      <c r="H197" s="3">
        <v>0.55239185899999999</v>
      </c>
      <c r="I197" s="3">
        <v>0.14919131999999999</v>
      </c>
      <c r="J197" s="3">
        <v>8.8417214220000009</v>
      </c>
      <c r="K197" s="3">
        <v>4.5430132399999996</v>
      </c>
      <c r="L197" s="3">
        <v>46.942218910000001</v>
      </c>
      <c r="M197" s="3">
        <f t="shared" si="7"/>
        <v>18.096199992000003</v>
      </c>
      <c r="N197" s="3">
        <f>D197+G197+K197+E197</f>
        <v>19.737819958999999</v>
      </c>
      <c r="O197" s="3">
        <f t="shared" si="6"/>
        <v>56.485523511000004</v>
      </c>
      <c r="P197" s="3">
        <v>55.78394033</v>
      </c>
      <c r="Q197" s="3">
        <v>4.8190356129999996</v>
      </c>
    </row>
    <row r="198" spans="1:46">
      <c r="A198" t="s">
        <v>211</v>
      </c>
      <c r="B198" t="s">
        <v>189</v>
      </c>
      <c r="C198" s="3">
        <v>9.9100387790000006</v>
      </c>
      <c r="D198" s="3">
        <v>6.9714498020000004</v>
      </c>
      <c r="E198" s="3">
        <v>3.5535126250000002</v>
      </c>
      <c r="F198" s="3">
        <v>8.1861612130000001</v>
      </c>
      <c r="G198" s="3">
        <v>4.6698442919999996</v>
      </c>
      <c r="H198" s="3">
        <v>0.55239185899999999</v>
      </c>
      <c r="I198" s="3">
        <v>0.14919131999999999</v>
      </c>
      <c r="J198" s="3">
        <v>8.8417214220000009</v>
      </c>
      <c r="K198" s="3">
        <v>4.5430132399999996</v>
      </c>
      <c r="L198" s="3">
        <v>46.942218910000001</v>
      </c>
      <c r="M198" s="3">
        <f t="shared" si="7"/>
        <v>18.096199992000003</v>
      </c>
      <c r="N198" s="3">
        <f>D198+G198+K198+E198</f>
        <v>19.737819958999999</v>
      </c>
      <c r="O198" s="3">
        <f t="shared" si="6"/>
        <v>56.485523511000004</v>
      </c>
      <c r="P198" s="3">
        <v>55.78394033</v>
      </c>
      <c r="Q198" s="3">
        <v>4.8190356129999996</v>
      </c>
    </row>
    <row r="199" spans="1:46">
      <c r="A199" t="s">
        <v>212</v>
      </c>
      <c r="B199" t="s">
        <v>189</v>
      </c>
      <c r="C199" s="3">
        <v>9.9100387790000006</v>
      </c>
      <c r="D199" s="3">
        <v>6.9714498020000004</v>
      </c>
      <c r="E199" s="3">
        <v>3.5535126250000002</v>
      </c>
      <c r="F199" s="3">
        <v>8.1861612130000001</v>
      </c>
      <c r="G199" s="3">
        <v>4.6698442919999996</v>
      </c>
      <c r="H199" s="3">
        <v>0.55239185899999999</v>
      </c>
      <c r="I199" s="3">
        <v>0.14919131999999999</v>
      </c>
      <c r="J199" s="3">
        <v>8.8417214220000009</v>
      </c>
      <c r="K199" s="3">
        <v>4.5430132399999996</v>
      </c>
      <c r="L199" s="3">
        <v>46.942218910000001</v>
      </c>
      <c r="M199" s="3">
        <f t="shared" si="7"/>
        <v>18.096199992000003</v>
      </c>
      <c r="N199" s="3">
        <f>D199+G199+K199+E199</f>
        <v>19.737819958999999</v>
      </c>
      <c r="O199" s="3">
        <f t="shared" si="6"/>
        <v>56.485523511000004</v>
      </c>
      <c r="P199" s="3">
        <v>55.78394033</v>
      </c>
      <c r="Q199" s="3">
        <v>4.8190356129999996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</row>
    <row r="200" spans="1:46">
      <c r="A200" t="s">
        <v>213</v>
      </c>
      <c r="B200" t="s">
        <v>189</v>
      </c>
      <c r="C200" s="3">
        <v>9.9248724349999993</v>
      </c>
      <c r="D200" s="3">
        <v>10.21586443</v>
      </c>
      <c r="E200" s="3">
        <v>3.1855801069999998</v>
      </c>
      <c r="F200" s="3">
        <v>6.9917807930000002</v>
      </c>
      <c r="G200" s="3">
        <v>4.3437552149999998</v>
      </c>
      <c r="H200" s="3">
        <v>0.69107174400000004</v>
      </c>
      <c r="I200" s="3">
        <v>0.19534728600000001</v>
      </c>
      <c r="J200" s="3">
        <v>8.3129724459999998</v>
      </c>
      <c r="K200" s="3">
        <v>4.4091595400000001</v>
      </c>
      <c r="L200" s="3">
        <v>44.911552950000001</v>
      </c>
      <c r="M200" s="3">
        <f t="shared" si="7"/>
        <v>16.916653228000001</v>
      </c>
      <c r="N200" s="3">
        <f>D200+G200+K200+E200</f>
        <v>22.154359291999999</v>
      </c>
      <c r="O200" s="3">
        <f t="shared" si="6"/>
        <v>54.110944426000003</v>
      </c>
      <c r="P200" s="3">
        <v>53.224525389999997</v>
      </c>
      <c r="Q200" s="3">
        <v>4.5391025010000003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</row>
    <row r="201" spans="1:46">
      <c r="A201" t="s">
        <v>214</v>
      </c>
      <c r="B201" t="s">
        <v>189</v>
      </c>
      <c r="C201" s="3">
        <v>9.9248724349999993</v>
      </c>
      <c r="D201" s="3">
        <v>10.21586443</v>
      </c>
      <c r="E201" s="3">
        <v>3.1855801069999998</v>
      </c>
      <c r="F201" s="3">
        <v>6.9917807930000002</v>
      </c>
      <c r="G201" s="3">
        <v>4.3437552149999998</v>
      </c>
      <c r="H201" s="3">
        <v>0.69107174400000004</v>
      </c>
      <c r="I201" s="3">
        <v>0.19534728600000001</v>
      </c>
      <c r="J201" s="3">
        <v>8.3129724459999998</v>
      </c>
      <c r="K201" s="3">
        <v>4.4091595400000001</v>
      </c>
      <c r="L201" s="3">
        <v>44.911552950000001</v>
      </c>
      <c r="M201" s="3">
        <f t="shared" si="7"/>
        <v>16.916653228000001</v>
      </c>
      <c r="N201" s="3">
        <f>D201+G201+K201+E201</f>
        <v>22.154359291999999</v>
      </c>
      <c r="O201" s="3">
        <f t="shared" si="6"/>
        <v>54.110944426000003</v>
      </c>
      <c r="P201" s="3">
        <v>53.224525389999997</v>
      </c>
      <c r="Q201" s="3">
        <v>4.5391025010000003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</row>
    <row r="202" spans="1:46">
      <c r="A202" t="s">
        <v>215</v>
      </c>
      <c r="B202" t="s">
        <v>189</v>
      </c>
      <c r="C202" s="3">
        <v>9.9248724349999993</v>
      </c>
      <c r="D202" s="3">
        <v>10.21586443</v>
      </c>
      <c r="E202" s="3">
        <v>3.1855801069999998</v>
      </c>
      <c r="F202" s="3">
        <v>6.9917807930000002</v>
      </c>
      <c r="G202" s="3">
        <v>4.3437552149999998</v>
      </c>
      <c r="H202" s="3">
        <v>0.69107174400000004</v>
      </c>
      <c r="I202" s="3">
        <v>0.19534728600000001</v>
      </c>
      <c r="J202" s="3">
        <v>8.3129724459999998</v>
      </c>
      <c r="K202" s="3">
        <v>4.4091595400000001</v>
      </c>
      <c r="L202" s="3">
        <v>44.911552950000001</v>
      </c>
      <c r="M202" s="3">
        <f t="shared" si="7"/>
        <v>16.916653228000001</v>
      </c>
      <c r="N202" s="3">
        <f>D202+G202+K202+E202</f>
        <v>22.154359291999999</v>
      </c>
      <c r="O202" s="3">
        <f t="shared" si="6"/>
        <v>54.110944426000003</v>
      </c>
      <c r="P202" s="3">
        <v>53.224525389999997</v>
      </c>
      <c r="Q202" s="3">
        <v>4.5391025010000003</v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</row>
    <row r="203" spans="1:46">
      <c r="A203" t="s">
        <v>216</v>
      </c>
      <c r="B203" t="s">
        <v>189</v>
      </c>
      <c r="C203" s="3">
        <v>8.8937351830000004</v>
      </c>
      <c r="D203" s="3">
        <v>5.7473741524999999</v>
      </c>
      <c r="E203" s="3">
        <v>3.4091155940000002</v>
      </c>
      <c r="F203" s="3">
        <v>8.1902463640000001</v>
      </c>
      <c r="G203" s="3">
        <v>2.9560655475000002</v>
      </c>
      <c r="H203" s="3">
        <v>1.1056190724999999</v>
      </c>
      <c r="I203" s="3">
        <v>0.18005517999999998</v>
      </c>
      <c r="J203" s="3">
        <v>8.9889753594999995</v>
      </c>
      <c r="K203" s="3">
        <v>5.6349643609999998</v>
      </c>
      <c r="L203" s="3">
        <v>46.360915634999998</v>
      </c>
      <c r="M203" s="3">
        <f t="shared" si="7"/>
        <v>17.083981547</v>
      </c>
      <c r="N203" s="3">
        <f>D203+G203+K203+E203</f>
        <v>17.747519655000001</v>
      </c>
      <c r="O203" s="3">
        <f t="shared" si="6"/>
        <v>56.635565246999995</v>
      </c>
      <c r="P203" s="3">
        <v>55.349890994999996</v>
      </c>
      <c r="Q203" s="3">
        <v>3.1361207269999998</v>
      </c>
    </row>
    <row r="204" spans="1:46">
      <c r="A204" t="s">
        <v>217</v>
      </c>
      <c r="B204" t="s">
        <v>189</v>
      </c>
      <c r="C204" s="3">
        <v>8.8937351830000004</v>
      </c>
      <c r="D204" s="3">
        <v>5.7473741524999999</v>
      </c>
      <c r="E204" s="3">
        <v>3.4091155940000002</v>
      </c>
      <c r="F204" s="3">
        <v>8.1902463640000001</v>
      </c>
      <c r="G204" s="3">
        <v>2.9560655475000002</v>
      </c>
      <c r="H204" s="3">
        <v>1.1056190724999999</v>
      </c>
      <c r="I204" s="3">
        <v>0.18005517999999998</v>
      </c>
      <c r="J204" s="3">
        <v>8.9889753594999995</v>
      </c>
      <c r="K204" s="3">
        <v>5.6349643609999998</v>
      </c>
      <c r="L204" s="3">
        <v>46.360915634999998</v>
      </c>
      <c r="M204" s="3">
        <f t="shared" si="7"/>
        <v>17.083981547</v>
      </c>
      <c r="N204" s="3">
        <f>D204+G204+K204+E204</f>
        <v>17.747519655000001</v>
      </c>
      <c r="O204" s="3">
        <f t="shared" si="6"/>
        <v>56.635565246999995</v>
      </c>
      <c r="P204" s="3">
        <v>55.349890994999996</v>
      </c>
      <c r="Q204" s="3">
        <v>3.1361207269999998</v>
      </c>
    </row>
    <row r="205" spans="1:46">
      <c r="A205" t="s">
        <v>218</v>
      </c>
      <c r="B205" t="s">
        <v>189</v>
      </c>
      <c r="C205" s="3">
        <v>8.8937351830000004</v>
      </c>
      <c r="D205" s="3">
        <v>5.7473741524999999</v>
      </c>
      <c r="E205" s="3">
        <v>3.4091155940000002</v>
      </c>
      <c r="F205" s="3">
        <v>8.1902463640000001</v>
      </c>
      <c r="G205" s="3">
        <v>2.9560655475000002</v>
      </c>
      <c r="H205" s="3">
        <v>1.1056190724999999</v>
      </c>
      <c r="I205" s="3">
        <v>0.18005517999999998</v>
      </c>
      <c r="J205" s="3">
        <v>8.9889753594999995</v>
      </c>
      <c r="K205" s="3">
        <v>5.6349643609999998</v>
      </c>
      <c r="L205" s="3">
        <v>46.360915634999998</v>
      </c>
      <c r="M205" s="3">
        <f t="shared" si="7"/>
        <v>17.083981547</v>
      </c>
      <c r="N205" s="3">
        <f>D205+G205+K205+E205</f>
        <v>17.747519655000001</v>
      </c>
      <c r="O205" s="3">
        <f t="shared" si="6"/>
        <v>56.635565246999995</v>
      </c>
      <c r="P205" s="3">
        <v>55.349890994999996</v>
      </c>
      <c r="Q205" s="3">
        <v>3.1361207269999998</v>
      </c>
    </row>
    <row r="206" spans="1:46">
      <c r="A206" t="s">
        <v>219</v>
      </c>
      <c r="B206" t="s">
        <v>189</v>
      </c>
      <c r="C206" s="3">
        <v>10.132211209999999</v>
      </c>
      <c r="D206" s="3">
        <v>6.6704082519999996</v>
      </c>
      <c r="E206" s="3">
        <v>3.8016036550000001</v>
      </c>
      <c r="F206" s="3">
        <v>8.6909939170000001</v>
      </c>
      <c r="G206" s="3">
        <v>2.8265252630000002</v>
      </c>
      <c r="H206" s="3">
        <v>0.64301687100000005</v>
      </c>
      <c r="I206" s="3">
        <v>0.20925775799999999</v>
      </c>
      <c r="J206" s="3">
        <v>7.7517464560000002</v>
      </c>
      <c r="K206" s="3">
        <v>4.0013184989999999</v>
      </c>
      <c r="L206" s="3">
        <v>50.639402199999999</v>
      </c>
      <c r="M206" s="3">
        <f t="shared" si="7"/>
        <v>18.823205127000001</v>
      </c>
      <c r="N206" s="3">
        <f>D206+G206+K206+E206</f>
        <v>17.299855668999999</v>
      </c>
      <c r="O206" s="3">
        <f t="shared" si="6"/>
        <v>59.243423284999999</v>
      </c>
      <c r="P206" s="3">
        <v>58.391148659999999</v>
      </c>
      <c r="Q206" s="3">
        <v>3.0357830219999999</v>
      </c>
    </row>
    <row r="207" spans="1:46">
      <c r="A207" t="s">
        <v>220</v>
      </c>
      <c r="B207" t="s">
        <v>189</v>
      </c>
      <c r="C207" s="3">
        <v>10.132211209999999</v>
      </c>
      <c r="D207" s="3">
        <v>6.6704082519999996</v>
      </c>
      <c r="E207" s="3">
        <v>3.8016036550000001</v>
      </c>
      <c r="F207" s="3">
        <v>8.6909939170000001</v>
      </c>
      <c r="G207" s="3">
        <v>2.8265252630000002</v>
      </c>
      <c r="H207" s="3">
        <v>0.64301687100000005</v>
      </c>
      <c r="I207" s="3">
        <v>0.20925775799999999</v>
      </c>
      <c r="J207" s="3">
        <v>7.7517464560000002</v>
      </c>
      <c r="K207" s="3">
        <v>4.0013184989999999</v>
      </c>
      <c r="L207" s="3">
        <v>50.639402199999999</v>
      </c>
      <c r="M207" s="3">
        <f t="shared" si="7"/>
        <v>18.823205127000001</v>
      </c>
      <c r="N207" s="3">
        <f>D207+G207+K207+E207</f>
        <v>17.299855668999999</v>
      </c>
      <c r="O207" s="3">
        <f t="shared" si="6"/>
        <v>59.243423284999999</v>
      </c>
      <c r="P207" s="3">
        <v>58.391148659999999</v>
      </c>
      <c r="Q207" s="3">
        <v>3.0357830219999999</v>
      </c>
    </row>
    <row r="208" spans="1:46">
      <c r="A208" t="s">
        <v>221</v>
      </c>
      <c r="B208" t="s">
        <v>189</v>
      </c>
      <c r="C208" s="3">
        <v>10.132211209999999</v>
      </c>
      <c r="D208" s="3">
        <v>6.6704082519999996</v>
      </c>
      <c r="E208" s="3">
        <v>3.8016036550000001</v>
      </c>
      <c r="F208" s="3">
        <v>8.6909939170000001</v>
      </c>
      <c r="G208" s="3">
        <v>2.8265252630000002</v>
      </c>
      <c r="H208" s="3">
        <v>0.64301687100000005</v>
      </c>
      <c r="I208" s="3">
        <v>0.20925775799999999</v>
      </c>
      <c r="J208" s="3">
        <v>7.7517464560000002</v>
      </c>
      <c r="K208" s="3">
        <v>4.0013184989999999</v>
      </c>
      <c r="L208" s="3">
        <v>50.639402199999999</v>
      </c>
      <c r="M208" s="3">
        <f t="shared" si="7"/>
        <v>18.823205127000001</v>
      </c>
      <c r="N208" s="3">
        <f>D208+G208+K208+E208</f>
        <v>17.299855668999999</v>
      </c>
      <c r="O208" s="3">
        <f t="shared" si="6"/>
        <v>59.243423284999999</v>
      </c>
      <c r="P208" s="3">
        <v>58.391148659999999</v>
      </c>
      <c r="Q208" s="3">
        <v>3.0357830219999999</v>
      </c>
    </row>
    <row r="209" spans="1:17">
      <c r="A209" t="s">
        <v>222</v>
      </c>
      <c r="B209" t="s">
        <v>189</v>
      </c>
      <c r="C209" s="3">
        <v>9.9235039549999993</v>
      </c>
      <c r="D209" s="3">
        <v>12.6345972</v>
      </c>
      <c r="E209" s="3">
        <v>3.3343772110000001</v>
      </c>
      <c r="F209" s="3">
        <v>7.8855693579999997</v>
      </c>
      <c r="G209" s="3">
        <v>3.4150187320000001</v>
      </c>
      <c r="H209" s="3">
        <v>0.58821664900000004</v>
      </c>
      <c r="I209" s="3">
        <v>0.21410457299999999</v>
      </c>
      <c r="J209" s="3">
        <v>7.0244777359999997</v>
      </c>
      <c r="K209" s="3">
        <v>4.4250329260000001</v>
      </c>
      <c r="L209" s="3">
        <v>45.121040899999997</v>
      </c>
      <c r="M209" s="3">
        <f t="shared" si="7"/>
        <v>17.809073312999999</v>
      </c>
      <c r="N209" s="3">
        <f>D209+G209+K209+E209</f>
        <v>23.809026069000002</v>
      </c>
      <c r="O209" s="3">
        <f t="shared" si="6"/>
        <v>52.947839857999995</v>
      </c>
      <c r="P209" s="3">
        <v>52.145518639999999</v>
      </c>
      <c r="Q209" s="3">
        <v>3.6291233059999999</v>
      </c>
    </row>
    <row r="210" spans="1:17">
      <c r="A210" t="s">
        <v>223</v>
      </c>
      <c r="B210" t="s">
        <v>189</v>
      </c>
      <c r="C210" s="3">
        <v>9.9235039549999993</v>
      </c>
      <c r="D210" s="3">
        <v>12.6345972</v>
      </c>
      <c r="E210" s="3">
        <v>3.3343772110000001</v>
      </c>
      <c r="F210" s="3">
        <v>7.8855693579999997</v>
      </c>
      <c r="G210" s="3">
        <v>3.4150187320000001</v>
      </c>
      <c r="H210" s="3">
        <v>0.58821664900000004</v>
      </c>
      <c r="I210" s="3">
        <v>0.21410457299999999</v>
      </c>
      <c r="J210" s="3">
        <v>7.0244777359999997</v>
      </c>
      <c r="K210" s="3">
        <v>4.4250329260000001</v>
      </c>
      <c r="L210" s="3">
        <v>45.121040899999997</v>
      </c>
      <c r="M210" s="3">
        <f t="shared" si="7"/>
        <v>17.809073312999999</v>
      </c>
      <c r="N210" s="3">
        <f>D210+G210+K210+E210</f>
        <v>23.809026069000002</v>
      </c>
      <c r="O210" s="3">
        <f t="shared" si="6"/>
        <v>52.947839857999995</v>
      </c>
      <c r="P210" s="3">
        <v>52.145518639999999</v>
      </c>
      <c r="Q210" s="3">
        <v>3.6291233059999999</v>
      </c>
    </row>
    <row r="211" spans="1:17">
      <c r="A211" t="s">
        <v>224</v>
      </c>
      <c r="B211" t="s">
        <v>189</v>
      </c>
      <c r="C211" s="3">
        <v>9.9235039549999993</v>
      </c>
      <c r="D211" s="3">
        <v>12.6345972</v>
      </c>
      <c r="E211" s="3">
        <v>3.3343772110000001</v>
      </c>
      <c r="F211" s="3">
        <v>7.8855693579999997</v>
      </c>
      <c r="G211" s="3">
        <v>3.4150187320000001</v>
      </c>
      <c r="H211" s="3">
        <v>0.58821664900000004</v>
      </c>
      <c r="I211" s="3">
        <v>0.21410457299999999</v>
      </c>
      <c r="J211" s="3">
        <v>7.0244777359999997</v>
      </c>
      <c r="K211" s="3">
        <v>4.4250329260000001</v>
      </c>
      <c r="L211" s="3">
        <v>45.121040899999997</v>
      </c>
      <c r="M211" s="3">
        <f t="shared" si="7"/>
        <v>17.809073312999999</v>
      </c>
      <c r="N211" s="3">
        <f>D211+G211+K211+E211</f>
        <v>23.809026069000002</v>
      </c>
      <c r="O211" s="3">
        <f t="shared" si="6"/>
        <v>52.947839857999995</v>
      </c>
      <c r="P211" s="3">
        <v>52.145518639999999</v>
      </c>
      <c r="Q211" s="3">
        <v>3.6291233059999999</v>
      </c>
    </row>
    <row r="212" spans="1:17">
      <c r="A212" t="s">
        <v>225</v>
      </c>
      <c r="B212" t="s">
        <v>189</v>
      </c>
      <c r="C212" s="3">
        <v>10.18349956</v>
      </c>
      <c r="D212" s="3">
        <v>11.54852898</v>
      </c>
      <c r="E212" s="3">
        <v>3.5462635410000001</v>
      </c>
      <c r="F212" s="3">
        <v>8.1728730590000005</v>
      </c>
      <c r="G212" s="3">
        <v>3.6475192019999998</v>
      </c>
      <c r="H212" s="3">
        <v>0.58889050399999998</v>
      </c>
      <c r="I212" s="3">
        <v>0.171781825</v>
      </c>
      <c r="J212" s="3">
        <v>7.4448180610000003</v>
      </c>
      <c r="K212" s="3">
        <v>4.5338787040000001</v>
      </c>
      <c r="L212" s="3">
        <v>44.593780989999999</v>
      </c>
      <c r="M212" s="3">
        <f t="shared" si="7"/>
        <v>18.356372618999998</v>
      </c>
      <c r="N212" s="3">
        <f>D212+G212+K212+E212</f>
        <v>23.276190427000003</v>
      </c>
      <c r="O212" s="3">
        <f t="shared" si="6"/>
        <v>52.79927138</v>
      </c>
      <c r="P212" s="3">
        <v>52.038599060000003</v>
      </c>
      <c r="Q212" s="3">
        <v>3.8193010260000002</v>
      </c>
    </row>
    <row r="213" spans="1:17">
      <c r="A213" t="s">
        <v>226</v>
      </c>
      <c r="B213" t="s">
        <v>189</v>
      </c>
      <c r="C213" s="3">
        <v>10.18349956</v>
      </c>
      <c r="D213" s="3">
        <v>11.54852898</v>
      </c>
      <c r="E213" s="3">
        <v>3.5462635410000001</v>
      </c>
      <c r="F213" s="3">
        <v>8.1728730590000005</v>
      </c>
      <c r="G213" s="3">
        <v>3.6475192019999998</v>
      </c>
      <c r="H213" s="3">
        <v>0.58889050399999998</v>
      </c>
      <c r="I213" s="3">
        <v>0.171781825</v>
      </c>
      <c r="J213" s="3">
        <v>7.4448180610000003</v>
      </c>
      <c r="K213" s="3">
        <v>4.5338787040000001</v>
      </c>
      <c r="L213" s="3">
        <v>44.593780989999999</v>
      </c>
      <c r="M213" s="3">
        <f t="shared" si="7"/>
        <v>18.356372618999998</v>
      </c>
      <c r="N213" s="3">
        <f>D213+G213+K213+E213</f>
        <v>23.276190427000003</v>
      </c>
      <c r="O213" s="3">
        <f t="shared" si="6"/>
        <v>52.79927138</v>
      </c>
      <c r="P213" s="3">
        <v>52.038599060000003</v>
      </c>
      <c r="Q213" s="3">
        <v>3.8193010260000002</v>
      </c>
    </row>
    <row r="214" spans="1:17">
      <c r="A214" t="s">
        <v>227</v>
      </c>
      <c r="B214" t="s">
        <v>189</v>
      </c>
      <c r="C214" s="3">
        <v>10.18349956</v>
      </c>
      <c r="D214" s="3">
        <v>11.54852898</v>
      </c>
      <c r="E214" s="3">
        <v>3.5462635410000001</v>
      </c>
      <c r="F214" s="3">
        <v>8.1728730590000005</v>
      </c>
      <c r="G214" s="3">
        <v>3.6475192019999998</v>
      </c>
      <c r="H214" s="3">
        <v>0.58889050399999998</v>
      </c>
      <c r="I214" s="3">
        <v>0.171781825</v>
      </c>
      <c r="J214" s="3">
        <v>7.4448180610000003</v>
      </c>
      <c r="K214" s="3">
        <v>4.5338787040000001</v>
      </c>
      <c r="L214" s="3">
        <v>44.593780989999999</v>
      </c>
      <c r="M214" s="3">
        <f t="shared" si="7"/>
        <v>18.356372618999998</v>
      </c>
      <c r="N214" s="3">
        <f>D214+G214+K214+E214</f>
        <v>23.276190427000003</v>
      </c>
      <c r="O214" s="3">
        <f t="shared" si="6"/>
        <v>52.79927138</v>
      </c>
      <c r="P214" s="3">
        <v>52.038599060000003</v>
      </c>
      <c r="Q214" s="3">
        <v>3.8193010260000002</v>
      </c>
    </row>
    <row r="215" spans="1:17">
      <c r="A215" t="s">
        <v>228</v>
      </c>
      <c r="B215" t="s">
        <v>189</v>
      </c>
      <c r="C215" s="3">
        <v>9.081349221</v>
      </c>
      <c r="D215" s="3">
        <v>10.117075140000001</v>
      </c>
      <c r="E215" s="3">
        <v>3.09627243</v>
      </c>
      <c r="F215" s="3">
        <v>8.063277137</v>
      </c>
      <c r="G215" s="3">
        <v>3.0569014399999999</v>
      </c>
      <c r="H215" s="3">
        <v>0.48457518500000002</v>
      </c>
      <c r="I215" s="3">
        <v>0.16601015</v>
      </c>
      <c r="J215" s="3">
        <v>7.3549516979999998</v>
      </c>
      <c r="K215" s="3">
        <v>4.5746268539999999</v>
      </c>
      <c r="L215" s="3">
        <v>48.907555960000003</v>
      </c>
      <c r="M215" s="3">
        <f t="shared" si="7"/>
        <v>17.144626358</v>
      </c>
      <c r="N215" s="3">
        <f>D215+G215+K215+E215</f>
        <v>20.844875864000002</v>
      </c>
      <c r="O215" s="3">
        <f t="shared" ref="O215:O278" si="8">J215+I215+H215+L215</f>
        <v>56.913092993000006</v>
      </c>
      <c r="P215" s="3">
        <v>56.262507659999997</v>
      </c>
      <c r="Q215" s="3">
        <v>3.2229115899999998</v>
      </c>
    </row>
    <row r="216" spans="1:17">
      <c r="A216" t="s">
        <v>229</v>
      </c>
      <c r="B216" t="s">
        <v>189</v>
      </c>
      <c r="C216" s="3">
        <v>9.081349221</v>
      </c>
      <c r="D216" s="3">
        <v>10.117075140000001</v>
      </c>
      <c r="E216" s="3">
        <v>3.09627243</v>
      </c>
      <c r="F216" s="3">
        <v>8.063277137</v>
      </c>
      <c r="G216" s="3">
        <v>3.0569014399999999</v>
      </c>
      <c r="H216" s="3">
        <v>0.48457518500000002</v>
      </c>
      <c r="I216" s="3">
        <v>0.16601015</v>
      </c>
      <c r="J216" s="3">
        <v>7.3549516979999998</v>
      </c>
      <c r="K216" s="3">
        <v>4.5746268539999999</v>
      </c>
      <c r="L216" s="3">
        <v>48.907555960000003</v>
      </c>
      <c r="M216" s="3">
        <f t="shared" si="7"/>
        <v>17.144626358</v>
      </c>
      <c r="N216" s="3">
        <f>D216+G216+K216+E216</f>
        <v>20.844875864000002</v>
      </c>
      <c r="O216" s="3">
        <f t="shared" si="8"/>
        <v>56.913092993000006</v>
      </c>
      <c r="P216" s="3">
        <v>56.262507659999997</v>
      </c>
      <c r="Q216" s="3">
        <v>3.2229115899999998</v>
      </c>
    </row>
    <row r="217" spans="1:17">
      <c r="A217" t="s">
        <v>230</v>
      </c>
      <c r="B217" t="s">
        <v>189</v>
      </c>
      <c r="C217" s="3">
        <v>9.081349221</v>
      </c>
      <c r="D217" s="3">
        <v>10.117075140000001</v>
      </c>
      <c r="E217" s="3">
        <v>3.09627243</v>
      </c>
      <c r="F217" s="3">
        <v>8.063277137</v>
      </c>
      <c r="G217" s="3">
        <v>3.0569014399999999</v>
      </c>
      <c r="H217" s="3">
        <v>0.48457518500000002</v>
      </c>
      <c r="I217" s="3">
        <v>0.16601015</v>
      </c>
      <c r="J217" s="3">
        <v>7.3549516979999998</v>
      </c>
      <c r="K217" s="3">
        <v>4.5746268539999999</v>
      </c>
      <c r="L217" s="3">
        <v>48.907555960000003</v>
      </c>
      <c r="M217" s="3">
        <f t="shared" si="7"/>
        <v>17.144626358</v>
      </c>
      <c r="N217" s="3">
        <f>D217+G217+K217+E217</f>
        <v>20.844875864000002</v>
      </c>
      <c r="O217" s="3">
        <f t="shared" si="8"/>
        <v>56.913092993000006</v>
      </c>
      <c r="P217" s="3">
        <v>56.262507659999997</v>
      </c>
      <c r="Q217" s="3">
        <v>3.2229115899999998</v>
      </c>
    </row>
    <row r="218" spans="1:17">
      <c r="A218" t="s">
        <v>231</v>
      </c>
      <c r="B218" t="s">
        <v>189</v>
      </c>
      <c r="C218" s="3">
        <v>10.27042163</v>
      </c>
      <c r="D218" s="3">
        <v>8.3922990150000008</v>
      </c>
      <c r="E218" s="3">
        <v>3.1651496020000001</v>
      </c>
      <c r="F218" s="3">
        <v>7.0909233079999998</v>
      </c>
      <c r="G218" s="3">
        <v>2.9516866949999998</v>
      </c>
      <c r="H218" s="3">
        <v>0.50498788699999997</v>
      </c>
      <c r="I218" s="3">
        <v>0.241949303</v>
      </c>
      <c r="J218" s="3">
        <v>6.9181390939999998</v>
      </c>
      <c r="K218" s="3">
        <v>4.5895407119999998</v>
      </c>
      <c r="L218" s="3">
        <v>51.007644939999999</v>
      </c>
      <c r="M218" s="3">
        <f t="shared" si="7"/>
        <v>17.361344937999998</v>
      </c>
      <c r="N218" s="3">
        <f>D218+G218+K218+E218</f>
        <v>19.098676024</v>
      </c>
      <c r="O218" s="3">
        <f t="shared" si="8"/>
        <v>58.672721224</v>
      </c>
      <c r="P218" s="3">
        <v>57.925784040000003</v>
      </c>
      <c r="Q218" s="3">
        <v>3.1936359969999999</v>
      </c>
    </row>
    <row r="219" spans="1:17">
      <c r="A219" t="s">
        <v>232</v>
      </c>
      <c r="B219" t="s">
        <v>189</v>
      </c>
      <c r="C219" s="3">
        <v>10.27042163</v>
      </c>
      <c r="D219" s="3">
        <v>8.3922990150000008</v>
      </c>
      <c r="E219" s="3">
        <v>3.1651496020000001</v>
      </c>
      <c r="F219" s="3">
        <v>7.0909233079999998</v>
      </c>
      <c r="G219" s="3">
        <v>2.9516866949999998</v>
      </c>
      <c r="H219" s="3">
        <v>0.50498788699999997</v>
      </c>
      <c r="I219" s="3">
        <v>0.241949303</v>
      </c>
      <c r="J219" s="3">
        <v>6.9181390939999998</v>
      </c>
      <c r="K219" s="3">
        <v>4.5895407119999998</v>
      </c>
      <c r="L219" s="3">
        <v>51.007644939999999</v>
      </c>
      <c r="M219" s="3">
        <f t="shared" si="7"/>
        <v>17.361344937999998</v>
      </c>
      <c r="N219" s="3">
        <f>D219+G219+K219+E219</f>
        <v>19.098676024</v>
      </c>
      <c r="O219" s="3">
        <f t="shared" si="8"/>
        <v>58.672721224</v>
      </c>
      <c r="P219" s="3">
        <v>57.925784040000003</v>
      </c>
      <c r="Q219" s="3">
        <v>3.1936359969999999</v>
      </c>
    </row>
    <row r="220" spans="1:17">
      <c r="A220" t="s">
        <v>233</v>
      </c>
      <c r="B220" t="s">
        <v>189</v>
      </c>
      <c r="C220" s="3">
        <v>10.27042163</v>
      </c>
      <c r="D220" s="3">
        <v>8.3922990150000008</v>
      </c>
      <c r="E220" s="3">
        <v>3.1651496020000001</v>
      </c>
      <c r="F220" s="3">
        <v>7.0909233079999998</v>
      </c>
      <c r="G220" s="3">
        <v>2.9516866949999998</v>
      </c>
      <c r="H220" s="3">
        <v>0.50498788699999997</v>
      </c>
      <c r="I220" s="3">
        <v>0.241949303</v>
      </c>
      <c r="J220" s="3">
        <v>6.9181390939999998</v>
      </c>
      <c r="K220" s="3">
        <v>4.5895407119999998</v>
      </c>
      <c r="L220" s="3">
        <v>51.007644939999999</v>
      </c>
      <c r="M220" s="3">
        <f t="shared" si="7"/>
        <v>17.361344937999998</v>
      </c>
      <c r="N220" s="3">
        <f>D220+G220+K220+E220</f>
        <v>19.098676024</v>
      </c>
      <c r="O220" s="3">
        <f t="shared" si="8"/>
        <v>58.672721224</v>
      </c>
      <c r="P220" s="3">
        <v>57.925784040000003</v>
      </c>
      <c r="Q220" s="3">
        <v>3.1936359969999999</v>
      </c>
    </row>
    <row r="221" spans="1:17">
      <c r="A221" t="s">
        <v>234</v>
      </c>
      <c r="B221" t="s">
        <v>189</v>
      </c>
      <c r="C221" s="3">
        <v>9.1922289910000003</v>
      </c>
      <c r="D221" s="3">
        <v>12.211006380000001</v>
      </c>
      <c r="E221" s="3">
        <v>3.2039175370000001</v>
      </c>
      <c r="F221" s="3">
        <v>7.3209524630000002</v>
      </c>
      <c r="G221" s="3">
        <v>3.57058703</v>
      </c>
      <c r="H221" s="3">
        <v>0.58606485399999997</v>
      </c>
      <c r="I221" s="3">
        <v>0.17678685699999999</v>
      </c>
      <c r="J221" s="3">
        <v>7.3270954589999997</v>
      </c>
      <c r="K221" s="3">
        <v>4.5327899049999996</v>
      </c>
      <c r="L221" s="3">
        <v>44.962736190000001</v>
      </c>
      <c r="M221" s="3">
        <f t="shared" si="7"/>
        <v>16.513181454000001</v>
      </c>
      <c r="N221" s="3">
        <f>D221+G221+K221+E221</f>
        <v>23.518300851999999</v>
      </c>
      <c r="O221" s="3">
        <f t="shared" si="8"/>
        <v>53.052683360000003</v>
      </c>
      <c r="P221" s="3">
        <v>52.289831650000004</v>
      </c>
      <c r="Q221" s="3">
        <v>3.7473738870000002</v>
      </c>
    </row>
    <row r="222" spans="1:17">
      <c r="A222" t="s">
        <v>235</v>
      </c>
      <c r="B222" t="s">
        <v>189</v>
      </c>
      <c r="C222" s="3">
        <v>9.1922289910000003</v>
      </c>
      <c r="D222" s="3">
        <v>12.211006380000001</v>
      </c>
      <c r="E222" s="3">
        <v>3.2039175370000001</v>
      </c>
      <c r="F222" s="3">
        <v>7.3209524630000002</v>
      </c>
      <c r="G222" s="3">
        <v>3.57058703</v>
      </c>
      <c r="H222" s="3">
        <v>0.58606485399999997</v>
      </c>
      <c r="I222" s="3">
        <v>0.17678685699999999</v>
      </c>
      <c r="J222" s="3">
        <v>7.3270954589999997</v>
      </c>
      <c r="K222" s="3">
        <v>4.5327899049999996</v>
      </c>
      <c r="L222" s="3">
        <v>44.962736190000001</v>
      </c>
      <c r="M222" s="3">
        <f t="shared" si="7"/>
        <v>16.513181454000001</v>
      </c>
      <c r="N222" s="3">
        <f>D222+G222+K222+E222</f>
        <v>23.518300851999999</v>
      </c>
      <c r="O222" s="3">
        <f t="shared" si="8"/>
        <v>53.052683360000003</v>
      </c>
      <c r="P222" s="3">
        <v>52.289831650000004</v>
      </c>
      <c r="Q222" s="3">
        <v>3.7473738870000002</v>
      </c>
    </row>
    <row r="223" spans="1:17">
      <c r="A223" t="s">
        <v>236</v>
      </c>
      <c r="B223" t="s">
        <v>189</v>
      </c>
      <c r="C223" s="3">
        <v>9.1922289910000003</v>
      </c>
      <c r="D223" s="3">
        <v>12.211006380000001</v>
      </c>
      <c r="E223" s="3">
        <v>3.2039175370000001</v>
      </c>
      <c r="F223" s="3">
        <v>7.3209524630000002</v>
      </c>
      <c r="G223" s="3">
        <v>3.57058703</v>
      </c>
      <c r="H223" s="3">
        <v>0.58606485399999997</v>
      </c>
      <c r="I223" s="3">
        <v>0.17678685699999999</v>
      </c>
      <c r="J223" s="3">
        <v>7.3270954589999997</v>
      </c>
      <c r="K223" s="3">
        <v>4.5327899049999996</v>
      </c>
      <c r="L223" s="3">
        <v>44.962736190000001</v>
      </c>
      <c r="M223" s="3">
        <f t="shared" si="7"/>
        <v>16.513181454000001</v>
      </c>
      <c r="N223" s="3">
        <f>D223+G223+K223+E223</f>
        <v>23.518300851999999</v>
      </c>
      <c r="O223" s="3">
        <f t="shared" si="8"/>
        <v>53.052683360000003</v>
      </c>
      <c r="P223" s="3">
        <v>52.289831650000004</v>
      </c>
      <c r="Q223" s="3">
        <v>3.7473738870000002</v>
      </c>
    </row>
    <row r="224" spans="1:17">
      <c r="A224" t="s">
        <v>237</v>
      </c>
      <c r="B224" t="s">
        <v>189</v>
      </c>
      <c r="C224" s="3">
        <v>9.6710475920000007</v>
      </c>
      <c r="D224" s="3">
        <v>12.980701440000001</v>
      </c>
      <c r="E224" s="3">
        <v>3.5521318819999999</v>
      </c>
      <c r="F224" s="3">
        <v>5.9225512120000001</v>
      </c>
      <c r="G224" s="3">
        <v>2.7892547799999998</v>
      </c>
      <c r="H224" s="3">
        <v>0.56513452099999995</v>
      </c>
      <c r="I224" s="3">
        <v>0.19941594700000001</v>
      </c>
      <c r="J224" s="3">
        <v>9.0563478580000005</v>
      </c>
      <c r="K224" s="3">
        <v>4.2861147099999997</v>
      </c>
      <c r="L224" s="3">
        <v>45.724825920000001</v>
      </c>
      <c r="M224" s="3">
        <f t="shared" si="7"/>
        <v>15.593598804000001</v>
      </c>
      <c r="N224" s="3">
        <f>D224+G224+K224+E224</f>
        <v>23.608202812000002</v>
      </c>
      <c r="O224" s="3">
        <f t="shared" si="8"/>
        <v>55.545724245999999</v>
      </c>
      <c r="P224" s="3">
        <v>54.781173780000003</v>
      </c>
      <c r="Q224" s="3">
        <v>2.9886707270000001</v>
      </c>
    </row>
    <row r="225" spans="1:17">
      <c r="A225" t="s">
        <v>238</v>
      </c>
      <c r="B225" t="s">
        <v>189</v>
      </c>
      <c r="C225" s="3">
        <v>9.6710475920000007</v>
      </c>
      <c r="D225" s="3">
        <v>12.980701440000001</v>
      </c>
      <c r="E225" s="3">
        <v>3.5521318819999999</v>
      </c>
      <c r="F225" s="3">
        <v>5.9225512120000001</v>
      </c>
      <c r="G225" s="3">
        <v>2.7892547799999998</v>
      </c>
      <c r="H225" s="3">
        <v>0.56513452099999995</v>
      </c>
      <c r="I225" s="3">
        <v>0.19941594700000001</v>
      </c>
      <c r="J225" s="3">
        <v>9.0563478580000005</v>
      </c>
      <c r="K225" s="3">
        <v>4.2861147099999997</v>
      </c>
      <c r="L225" s="3">
        <v>45.724825920000001</v>
      </c>
      <c r="M225" s="3">
        <f t="shared" si="7"/>
        <v>15.593598804000001</v>
      </c>
      <c r="N225" s="3">
        <f>D225+G225+K225+E225</f>
        <v>23.608202812000002</v>
      </c>
      <c r="O225" s="3">
        <f t="shared" si="8"/>
        <v>55.545724245999999</v>
      </c>
      <c r="P225" s="3">
        <v>54.781173780000003</v>
      </c>
      <c r="Q225" s="3">
        <v>2.9886707270000001</v>
      </c>
    </row>
    <row r="226" spans="1:17">
      <c r="A226" t="s">
        <v>239</v>
      </c>
      <c r="B226" t="s">
        <v>189</v>
      </c>
      <c r="C226" s="3">
        <v>9.6710475920000007</v>
      </c>
      <c r="D226" s="3">
        <v>12.980701440000001</v>
      </c>
      <c r="E226" s="3">
        <v>3.5521318819999999</v>
      </c>
      <c r="F226" s="3">
        <v>5.9225512120000001</v>
      </c>
      <c r="G226" s="3">
        <v>2.7892547799999998</v>
      </c>
      <c r="H226" s="3">
        <v>0.56513452099999995</v>
      </c>
      <c r="I226" s="3">
        <v>0.19941594700000001</v>
      </c>
      <c r="J226" s="3">
        <v>9.0563478580000005</v>
      </c>
      <c r="K226" s="3">
        <v>4.2861147099999997</v>
      </c>
      <c r="L226" s="3">
        <v>45.724825920000001</v>
      </c>
      <c r="M226" s="3">
        <f t="shared" si="7"/>
        <v>15.593598804000001</v>
      </c>
      <c r="N226" s="3">
        <f>D226+G226+K226+E226</f>
        <v>23.608202812000002</v>
      </c>
      <c r="O226" s="3">
        <f t="shared" si="8"/>
        <v>55.545724245999999</v>
      </c>
      <c r="P226" s="3">
        <v>54.781173780000003</v>
      </c>
      <c r="Q226" s="3">
        <v>2.9886707270000001</v>
      </c>
    </row>
    <row r="227" spans="1:17">
      <c r="A227" t="s">
        <v>240</v>
      </c>
      <c r="B227" t="s">
        <v>189</v>
      </c>
      <c r="C227" s="3">
        <v>9.5236347200000004</v>
      </c>
      <c r="D227" s="3">
        <v>9.543688521</v>
      </c>
      <c r="E227" s="3">
        <v>3.5407060100000001</v>
      </c>
      <c r="F227" s="3">
        <v>7.439851473</v>
      </c>
      <c r="G227" s="3">
        <v>2.508366863</v>
      </c>
      <c r="H227" s="3">
        <v>1.134320072</v>
      </c>
      <c r="I227" s="3">
        <v>0.25817262600000002</v>
      </c>
      <c r="J227" s="3">
        <v>7.033308903</v>
      </c>
      <c r="K227" s="3">
        <v>5.0382037359999998</v>
      </c>
      <c r="L227" s="3">
        <v>47.112278959999998</v>
      </c>
      <c r="M227" s="3">
        <f t="shared" si="7"/>
        <v>16.963486193000001</v>
      </c>
      <c r="N227" s="3">
        <f>D227+G227+K227+E227</f>
        <v>20.63096513</v>
      </c>
      <c r="O227" s="3">
        <f t="shared" si="8"/>
        <v>55.538080561000001</v>
      </c>
      <c r="P227" s="3">
        <v>54.14558787</v>
      </c>
      <c r="Q227" s="3">
        <v>2.7665394889999999</v>
      </c>
    </row>
    <row r="228" spans="1:17">
      <c r="A228" t="s">
        <v>241</v>
      </c>
      <c r="B228" t="s">
        <v>189</v>
      </c>
      <c r="C228" s="3">
        <v>9.5236347200000004</v>
      </c>
      <c r="D228" s="3">
        <v>9.543688521</v>
      </c>
      <c r="E228" s="3">
        <v>3.5407060100000001</v>
      </c>
      <c r="F228" s="3">
        <v>7.439851473</v>
      </c>
      <c r="G228" s="3">
        <v>2.508366863</v>
      </c>
      <c r="H228" s="3">
        <v>1.134320072</v>
      </c>
      <c r="I228" s="3">
        <v>0.25817262600000002</v>
      </c>
      <c r="J228" s="3">
        <v>7.033308903</v>
      </c>
      <c r="K228" s="3">
        <v>5.0382037359999998</v>
      </c>
      <c r="L228" s="3">
        <v>47.112278959999998</v>
      </c>
      <c r="M228" s="3">
        <f t="shared" si="7"/>
        <v>16.963486193000001</v>
      </c>
      <c r="N228" s="3">
        <f>D228+G228+K228+E228</f>
        <v>20.63096513</v>
      </c>
      <c r="O228" s="3">
        <f t="shared" si="8"/>
        <v>55.538080561000001</v>
      </c>
      <c r="P228" s="3">
        <v>54.14558787</v>
      </c>
      <c r="Q228" s="3">
        <v>2.7665394889999999</v>
      </c>
    </row>
    <row r="229" spans="1:17">
      <c r="A229" t="s">
        <v>242</v>
      </c>
      <c r="B229" t="s">
        <v>189</v>
      </c>
      <c r="C229" s="3">
        <v>9.5236347200000004</v>
      </c>
      <c r="D229" s="3">
        <v>9.543688521</v>
      </c>
      <c r="E229" s="3">
        <v>3.5407060100000001</v>
      </c>
      <c r="F229" s="3">
        <v>7.439851473</v>
      </c>
      <c r="G229" s="3">
        <v>2.508366863</v>
      </c>
      <c r="H229" s="3">
        <v>1.134320072</v>
      </c>
      <c r="I229" s="3">
        <v>0.25817262600000002</v>
      </c>
      <c r="J229" s="3">
        <v>7.033308903</v>
      </c>
      <c r="K229" s="3">
        <v>5.0382037359999998</v>
      </c>
      <c r="L229" s="3">
        <v>47.112278959999998</v>
      </c>
      <c r="M229" s="3">
        <f t="shared" si="7"/>
        <v>16.963486193000001</v>
      </c>
      <c r="N229" s="3">
        <f>D229+G229+K229+E229</f>
        <v>20.63096513</v>
      </c>
      <c r="O229" s="3">
        <f t="shared" si="8"/>
        <v>55.538080561000001</v>
      </c>
      <c r="P229" s="3">
        <v>54.14558787</v>
      </c>
      <c r="Q229" s="3">
        <v>2.7665394889999999</v>
      </c>
    </row>
    <row r="230" spans="1:17">
      <c r="A230" t="s">
        <v>243</v>
      </c>
      <c r="B230" t="s">
        <v>189</v>
      </c>
      <c r="C230" s="3">
        <v>10.046833660000001</v>
      </c>
      <c r="D230" s="3">
        <v>9.5938003349999992</v>
      </c>
      <c r="E230" s="3">
        <v>3.5162071080000001</v>
      </c>
      <c r="F230" s="3">
        <v>8.1600457249999998</v>
      </c>
      <c r="G230" s="3">
        <v>3.113852949</v>
      </c>
      <c r="H230" s="3">
        <v>0.75536748600000003</v>
      </c>
      <c r="I230" s="3">
        <v>0.22071058299999999</v>
      </c>
      <c r="J230" s="3">
        <v>5.74957093</v>
      </c>
      <c r="K230" s="3">
        <v>5.1787820360000003</v>
      </c>
      <c r="L230" s="3">
        <v>47.861386799999998</v>
      </c>
      <c r="M230" s="3">
        <f t="shared" si="7"/>
        <v>18.206879385000001</v>
      </c>
      <c r="N230" s="3">
        <f>D230+G230+K230+E230</f>
        <v>21.402642428</v>
      </c>
      <c r="O230" s="3">
        <f t="shared" si="8"/>
        <v>54.587035798999999</v>
      </c>
      <c r="P230" s="3">
        <v>53.610957730000003</v>
      </c>
      <c r="Q230" s="3">
        <v>3.3345635320000002</v>
      </c>
    </row>
    <row r="231" spans="1:17">
      <c r="A231" t="s">
        <v>244</v>
      </c>
      <c r="B231" t="s">
        <v>189</v>
      </c>
      <c r="C231" s="3">
        <v>10.046833660000001</v>
      </c>
      <c r="D231" s="3">
        <v>9.5938003349999992</v>
      </c>
      <c r="E231" s="3">
        <v>3.5162071080000001</v>
      </c>
      <c r="F231" s="3">
        <v>8.1600457249999998</v>
      </c>
      <c r="G231" s="3">
        <v>3.113852949</v>
      </c>
      <c r="H231" s="3">
        <v>0.75536748600000003</v>
      </c>
      <c r="I231" s="3">
        <v>0.22071058299999999</v>
      </c>
      <c r="J231" s="3">
        <v>5.74957093</v>
      </c>
      <c r="K231" s="3">
        <v>5.1787820360000003</v>
      </c>
      <c r="L231" s="3">
        <v>47.861386799999998</v>
      </c>
      <c r="M231" s="3">
        <f t="shared" si="7"/>
        <v>18.206879385000001</v>
      </c>
      <c r="N231" s="3">
        <f>D231+G231+K231+E231</f>
        <v>21.402642428</v>
      </c>
      <c r="O231" s="3">
        <f t="shared" si="8"/>
        <v>54.587035798999999</v>
      </c>
      <c r="P231" s="3">
        <v>53.610957730000003</v>
      </c>
      <c r="Q231" s="3">
        <v>3.3345635320000002</v>
      </c>
    </row>
    <row r="232" spans="1:17">
      <c r="A232" t="s">
        <v>245</v>
      </c>
      <c r="B232" t="s">
        <v>189</v>
      </c>
      <c r="C232" s="3">
        <v>10.046833660000001</v>
      </c>
      <c r="D232" s="3">
        <v>9.5938003349999992</v>
      </c>
      <c r="E232" s="3">
        <v>3.5162071080000001</v>
      </c>
      <c r="F232" s="3">
        <v>8.1600457249999998</v>
      </c>
      <c r="G232" s="3">
        <v>3.113852949</v>
      </c>
      <c r="H232" s="3">
        <v>0.75536748600000003</v>
      </c>
      <c r="I232" s="3">
        <v>0.22071058299999999</v>
      </c>
      <c r="J232" s="3">
        <v>5.74957093</v>
      </c>
      <c r="K232" s="3">
        <v>5.1787820360000003</v>
      </c>
      <c r="L232" s="3">
        <v>47.861386799999998</v>
      </c>
      <c r="M232" s="3">
        <f t="shared" si="7"/>
        <v>18.206879385000001</v>
      </c>
      <c r="N232" s="3">
        <f>D232+G232+K232+E232</f>
        <v>21.402642428</v>
      </c>
      <c r="O232" s="3">
        <f t="shared" si="8"/>
        <v>54.587035798999999</v>
      </c>
      <c r="P232" s="3">
        <v>53.610957730000003</v>
      </c>
      <c r="Q232" s="3">
        <v>3.3345635320000002</v>
      </c>
    </row>
    <row r="233" spans="1:17">
      <c r="A233" t="s">
        <v>246</v>
      </c>
      <c r="B233" t="s">
        <v>189</v>
      </c>
      <c r="C233" s="3">
        <v>10.56244583</v>
      </c>
      <c r="D233" s="3">
        <v>10.61133349</v>
      </c>
      <c r="E233" s="3">
        <v>3.2419942239999999</v>
      </c>
      <c r="F233" s="3">
        <v>8.0014219749999995</v>
      </c>
      <c r="G233" s="3">
        <v>3.7252862520000001</v>
      </c>
      <c r="H233" s="3">
        <v>0.59786889499999996</v>
      </c>
      <c r="I233" s="3">
        <v>0.168211573</v>
      </c>
      <c r="J233" s="3">
        <v>6.3621071909999998</v>
      </c>
      <c r="K233" s="3">
        <v>4.6419214999999996</v>
      </c>
      <c r="L233" s="3">
        <v>46.17704724</v>
      </c>
      <c r="M233" s="3">
        <f t="shared" si="7"/>
        <v>18.563867805000001</v>
      </c>
      <c r="N233" s="3">
        <f>D233+G233+K233+E233</f>
        <v>22.220535465999998</v>
      </c>
      <c r="O233" s="3">
        <f t="shared" si="8"/>
        <v>53.305234898999998</v>
      </c>
      <c r="P233" s="3">
        <v>52.539154430000004</v>
      </c>
      <c r="Q233" s="3">
        <v>3.8934978249999999</v>
      </c>
    </row>
    <row r="234" spans="1:17">
      <c r="A234" t="s">
        <v>247</v>
      </c>
      <c r="B234" t="s">
        <v>189</v>
      </c>
      <c r="C234" s="3">
        <v>10.56244583</v>
      </c>
      <c r="D234" s="3">
        <v>10.61133349</v>
      </c>
      <c r="E234" s="3">
        <v>3.2419942239999999</v>
      </c>
      <c r="F234" s="3">
        <v>8.0014219749999995</v>
      </c>
      <c r="G234" s="3">
        <v>3.7252862520000001</v>
      </c>
      <c r="H234" s="3">
        <v>0.59786889499999996</v>
      </c>
      <c r="I234" s="3">
        <v>0.168211573</v>
      </c>
      <c r="J234" s="3">
        <v>6.3621071909999998</v>
      </c>
      <c r="K234" s="3">
        <v>4.6419214999999996</v>
      </c>
      <c r="L234" s="3">
        <v>46.17704724</v>
      </c>
      <c r="M234" s="3">
        <f t="shared" si="7"/>
        <v>18.563867805000001</v>
      </c>
      <c r="N234" s="3">
        <f>D234+G234+K234+E234</f>
        <v>22.220535465999998</v>
      </c>
      <c r="O234" s="3">
        <f t="shared" si="8"/>
        <v>53.305234898999998</v>
      </c>
      <c r="P234" s="3">
        <v>52.539154430000004</v>
      </c>
      <c r="Q234" s="3">
        <v>3.8934978249999999</v>
      </c>
    </row>
    <row r="235" spans="1:17">
      <c r="A235" t="s">
        <v>248</v>
      </c>
      <c r="B235" t="s">
        <v>189</v>
      </c>
      <c r="C235" s="3">
        <v>10.56244583</v>
      </c>
      <c r="D235" s="3">
        <v>10.61133349</v>
      </c>
      <c r="E235" s="3">
        <v>3.2419942239999999</v>
      </c>
      <c r="F235" s="3">
        <v>8.0014219749999995</v>
      </c>
      <c r="G235" s="3">
        <v>3.7252862520000001</v>
      </c>
      <c r="H235" s="3">
        <v>0.59786889499999996</v>
      </c>
      <c r="I235" s="3">
        <v>0.168211573</v>
      </c>
      <c r="J235" s="3">
        <v>6.3621071909999998</v>
      </c>
      <c r="K235" s="3">
        <v>4.6419214999999996</v>
      </c>
      <c r="L235" s="3">
        <v>46.17704724</v>
      </c>
      <c r="M235" s="3">
        <f t="shared" si="7"/>
        <v>18.563867805000001</v>
      </c>
      <c r="N235" s="3">
        <f>D235+G235+K235+E235</f>
        <v>22.220535465999998</v>
      </c>
      <c r="O235" s="3">
        <f t="shared" si="8"/>
        <v>53.305234898999998</v>
      </c>
      <c r="P235" s="3">
        <v>52.539154430000004</v>
      </c>
      <c r="Q235" s="3">
        <v>3.8934978249999999</v>
      </c>
    </row>
    <row r="236" spans="1:17">
      <c r="A236" t="s">
        <v>249</v>
      </c>
      <c r="B236" t="s">
        <v>189</v>
      </c>
      <c r="C236" s="3">
        <v>10.544250549999999</v>
      </c>
      <c r="D236" s="3">
        <v>11.804036330000001</v>
      </c>
      <c r="E236" s="3">
        <v>3.222390125</v>
      </c>
      <c r="F236" s="3">
        <v>6.7781927270000004</v>
      </c>
      <c r="G236" s="3">
        <v>3.7916599689999999</v>
      </c>
      <c r="H236" s="3">
        <v>0.52161217299999996</v>
      </c>
      <c r="I236" s="3">
        <v>0.18463310299999999</v>
      </c>
      <c r="J236" s="3">
        <v>7.2901837360000004</v>
      </c>
      <c r="K236" s="3">
        <v>4.4902857420000002</v>
      </c>
      <c r="L236" s="3">
        <v>46.154634649999998</v>
      </c>
      <c r="M236" s="3">
        <f t="shared" si="7"/>
        <v>17.322443276999998</v>
      </c>
      <c r="N236" s="3">
        <f>D236+G236+K236+E236</f>
        <v>23.308372166000002</v>
      </c>
      <c r="O236" s="3">
        <f t="shared" si="8"/>
        <v>54.151063661999999</v>
      </c>
      <c r="P236" s="3">
        <v>53.444818390000002</v>
      </c>
      <c r="Q236" s="3">
        <v>3.9762930729999999</v>
      </c>
    </row>
    <row r="237" spans="1:17">
      <c r="A237" t="s">
        <v>250</v>
      </c>
      <c r="B237" t="s">
        <v>189</v>
      </c>
      <c r="C237" s="3">
        <v>10.544250549999999</v>
      </c>
      <c r="D237" s="3">
        <v>11.804036330000001</v>
      </c>
      <c r="E237" s="3">
        <v>3.222390125</v>
      </c>
      <c r="F237" s="3">
        <v>6.7781927270000004</v>
      </c>
      <c r="G237" s="3">
        <v>3.7916599689999999</v>
      </c>
      <c r="H237" s="3">
        <v>0.52161217299999996</v>
      </c>
      <c r="I237" s="3">
        <v>0.18463310299999999</v>
      </c>
      <c r="J237" s="3">
        <v>7.2901837360000004</v>
      </c>
      <c r="K237" s="3">
        <v>4.4902857420000002</v>
      </c>
      <c r="L237" s="3">
        <v>46.154634649999998</v>
      </c>
      <c r="M237" s="3">
        <f t="shared" si="7"/>
        <v>17.322443276999998</v>
      </c>
      <c r="N237" s="3">
        <f>D237+G237+K237+E237</f>
        <v>23.308372166000002</v>
      </c>
      <c r="O237" s="3">
        <f t="shared" si="8"/>
        <v>54.151063661999999</v>
      </c>
      <c r="P237" s="3">
        <v>53.444818390000002</v>
      </c>
      <c r="Q237" s="3">
        <v>3.9762930729999999</v>
      </c>
    </row>
    <row r="238" spans="1:17">
      <c r="A238" t="s">
        <v>251</v>
      </c>
      <c r="B238" t="s">
        <v>189</v>
      </c>
      <c r="C238" s="3">
        <v>10.544250549999999</v>
      </c>
      <c r="D238" s="3">
        <v>11.804036330000001</v>
      </c>
      <c r="E238" s="3">
        <v>3.222390125</v>
      </c>
      <c r="F238" s="3">
        <v>6.7781927270000004</v>
      </c>
      <c r="G238" s="3">
        <v>3.7916599689999999</v>
      </c>
      <c r="H238" s="3">
        <v>0.52161217299999996</v>
      </c>
      <c r="I238" s="3">
        <v>0.18463310299999999</v>
      </c>
      <c r="J238" s="3">
        <v>7.2901837360000004</v>
      </c>
      <c r="K238" s="3">
        <v>4.4902857420000002</v>
      </c>
      <c r="L238" s="3">
        <v>46.154634649999998</v>
      </c>
      <c r="M238" s="3">
        <f t="shared" si="7"/>
        <v>17.322443276999998</v>
      </c>
      <c r="N238" s="3">
        <f>D238+G238+K238+E238</f>
        <v>23.308372166000002</v>
      </c>
      <c r="O238" s="3">
        <f t="shared" si="8"/>
        <v>54.151063661999999</v>
      </c>
      <c r="P238" s="3">
        <v>53.444818390000002</v>
      </c>
      <c r="Q238" s="3">
        <v>3.9762930729999999</v>
      </c>
    </row>
    <row r="239" spans="1:17">
      <c r="A239" t="s">
        <v>252</v>
      </c>
      <c r="B239" t="s">
        <v>253</v>
      </c>
      <c r="C239" s="3">
        <v>9.3656380430000006</v>
      </c>
      <c r="D239" s="3">
        <v>11.24095367</v>
      </c>
      <c r="E239" s="3">
        <v>3.415025102</v>
      </c>
      <c r="F239" s="3">
        <v>6.4744516519999999</v>
      </c>
      <c r="G239" s="3">
        <v>2.691792677</v>
      </c>
      <c r="H239" s="3">
        <v>0.62922193100000001</v>
      </c>
      <c r="I239" s="3">
        <v>0.15915596000000001</v>
      </c>
      <c r="J239" s="3">
        <v>11.382704199999999</v>
      </c>
      <c r="K239" s="3">
        <v>4.7589965300000001</v>
      </c>
      <c r="L239" s="3">
        <v>43.323122140000002</v>
      </c>
      <c r="M239" s="3">
        <f t="shared" si="7"/>
        <v>15.840089695</v>
      </c>
      <c r="N239" s="3">
        <f>D239+G239+K239+E239</f>
        <v>22.106767979000001</v>
      </c>
      <c r="O239" s="3">
        <f t="shared" si="8"/>
        <v>55.494204230999998</v>
      </c>
      <c r="P239" s="3">
        <v>54.705826340000002</v>
      </c>
      <c r="Q239" s="3">
        <v>2.8509486380000002</v>
      </c>
    </row>
    <row r="240" spans="1:17">
      <c r="A240" t="s">
        <v>254</v>
      </c>
      <c r="B240" t="s">
        <v>253</v>
      </c>
      <c r="C240" s="3">
        <v>9.3656380430000006</v>
      </c>
      <c r="D240" s="3">
        <v>11.24095367</v>
      </c>
      <c r="E240" s="3">
        <v>3.415025102</v>
      </c>
      <c r="F240" s="3">
        <v>6.4744516519999999</v>
      </c>
      <c r="G240" s="3">
        <v>2.691792677</v>
      </c>
      <c r="H240" s="3">
        <v>0.62922193100000001</v>
      </c>
      <c r="I240" s="3">
        <v>0.15915596000000001</v>
      </c>
      <c r="J240" s="3">
        <v>11.382704199999999</v>
      </c>
      <c r="K240" s="3">
        <v>4.7589965300000001</v>
      </c>
      <c r="L240" s="3">
        <v>43.323122140000002</v>
      </c>
      <c r="M240" s="3">
        <f t="shared" si="7"/>
        <v>15.840089695</v>
      </c>
      <c r="N240" s="3">
        <f>D240+G240+K240+E240</f>
        <v>22.106767979000001</v>
      </c>
      <c r="O240" s="3">
        <f t="shared" si="8"/>
        <v>55.494204230999998</v>
      </c>
      <c r="P240" s="3">
        <v>54.705826340000002</v>
      </c>
      <c r="Q240" s="3">
        <v>2.8509486380000002</v>
      </c>
    </row>
    <row r="241" spans="1:17">
      <c r="A241" t="s">
        <v>255</v>
      </c>
      <c r="B241" t="s">
        <v>253</v>
      </c>
      <c r="C241" s="3">
        <v>9.3656380430000006</v>
      </c>
      <c r="D241" s="3">
        <v>11.24095367</v>
      </c>
      <c r="E241" s="3">
        <v>3.415025102</v>
      </c>
      <c r="F241" s="3">
        <v>6.4744516519999999</v>
      </c>
      <c r="G241" s="3">
        <v>2.691792677</v>
      </c>
      <c r="H241" s="3">
        <v>0.62922193100000001</v>
      </c>
      <c r="I241" s="3">
        <v>0.15915596000000001</v>
      </c>
      <c r="J241" s="3">
        <v>11.382704199999999</v>
      </c>
      <c r="K241" s="3">
        <v>4.7589965300000001</v>
      </c>
      <c r="L241" s="3">
        <v>43.323122140000002</v>
      </c>
      <c r="M241" s="3">
        <f t="shared" si="7"/>
        <v>15.840089695</v>
      </c>
      <c r="N241" s="3">
        <f>D241+G241+K241+E241</f>
        <v>22.106767979000001</v>
      </c>
      <c r="O241" s="3">
        <f t="shared" si="8"/>
        <v>55.494204230999998</v>
      </c>
      <c r="P241" s="3">
        <v>54.705826340000002</v>
      </c>
      <c r="Q241" s="3">
        <v>2.8509486380000002</v>
      </c>
    </row>
    <row r="242" spans="1:17">
      <c r="A242" t="s">
        <v>256</v>
      </c>
      <c r="B242" t="s">
        <v>253</v>
      </c>
      <c r="C242" s="3">
        <v>9.2665183429999995</v>
      </c>
      <c r="D242" s="3">
        <v>9.8243555879999995</v>
      </c>
      <c r="E242" s="3">
        <v>3.582832174</v>
      </c>
      <c r="F242" s="3">
        <v>7.4375903179999998</v>
      </c>
      <c r="G242" s="3">
        <v>2.1507580069999999</v>
      </c>
      <c r="H242" s="3">
        <v>0.61133798800000005</v>
      </c>
      <c r="I242" s="3">
        <v>0.109740636</v>
      </c>
      <c r="J242" s="3">
        <v>12.11547775</v>
      </c>
      <c r="K242" s="3">
        <v>4.7573419460000004</v>
      </c>
      <c r="L242" s="3">
        <v>43.59652208</v>
      </c>
      <c r="M242" s="3">
        <f t="shared" si="7"/>
        <v>16.704108660999999</v>
      </c>
      <c r="N242" s="3">
        <f>D242+G242+K242+E242</f>
        <v>20.315287715</v>
      </c>
      <c r="O242" s="3">
        <f t="shared" si="8"/>
        <v>56.433078453999997</v>
      </c>
      <c r="P242" s="3">
        <v>55.711999820000003</v>
      </c>
      <c r="Q242" s="3">
        <v>2.260498643</v>
      </c>
    </row>
    <row r="243" spans="1:17">
      <c r="A243" t="s">
        <v>257</v>
      </c>
      <c r="B243" t="s">
        <v>253</v>
      </c>
      <c r="C243" s="3">
        <v>9.2665183429999995</v>
      </c>
      <c r="D243" s="3">
        <v>9.8243555879999995</v>
      </c>
      <c r="E243" s="3">
        <v>3.582832174</v>
      </c>
      <c r="F243" s="3">
        <v>7.4375903179999998</v>
      </c>
      <c r="G243" s="3">
        <v>2.1507580069999999</v>
      </c>
      <c r="H243" s="3">
        <v>0.61133798800000005</v>
      </c>
      <c r="I243" s="3">
        <v>0.109740636</v>
      </c>
      <c r="J243" s="3">
        <v>12.11547775</v>
      </c>
      <c r="K243" s="3">
        <v>4.7573419460000004</v>
      </c>
      <c r="L243" s="3">
        <v>43.59652208</v>
      </c>
      <c r="M243" s="3">
        <f t="shared" si="7"/>
        <v>16.704108660999999</v>
      </c>
      <c r="N243" s="3">
        <f>D243+G243+K243+E243</f>
        <v>20.315287715</v>
      </c>
      <c r="O243" s="3">
        <f t="shared" si="8"/>
        <v>56.433078453999997</v>
      </c>
      <c r="P243" s="3">
        <v>55.711999820000003</v>
      </c>
      <c r="Q243" s="3">
        <v>2.260498643</v>
      </c>
    </row>
    <row r="244" spans="1:17">
      <c r="A244" t="s">
        <v>258</v>
      </c>
      <c r="B244" t="s">
        <v>253</v>
      </c>
      <c r="C244" s="3">
        <v>9.2665183429999995</v>
      </c>
      <c r="D244" s="3">
        <v>9.8243555879999995</v>
      </c>
      <c r="E244" s="3">
        <v>3.582832174</v>
      </c>
      <c r="F244" s="3">
        <v>7.4375903179999998</v>
      </c>
      <c r="G244" s="3">
        <v>2.1507580069999999</v>
      </c>
      <c r="H244" s="3">
        <v>0.61133798800000005</v>
      </c>
      <c r="I244" s="3">
        <v>0.109740636</v>
      </c>
      <c r="J244" s="3">
        <v>12.11547775</v>
      </c>
      <c r="K244" s="3">
        <v>4.7573419460000004</v>
      </c>
      <c r="L244" s="3">
        <v>43.59652208</v>
      </c>
      <c r="M244" s="3">
        <f t="shared" si="7"/>
        <v>16.704108660999999</v>
      </c>
      <c r="N244" s="3">
        <f>D244+G244+K244+E244</f>
        <v>20.315287715</v>
      </c>
      <c r="O244" s="3">
        <f t="shared" si="8"/>
        <v>56.433078453999997</v>
      </c>
      <c r="P244" s="3">
        <v>55.711999820000003</v>
      </c>
      <c r="Q244" s="3">
        <v>2.260498643</v>
      </c>
    </row>
    <row r="245" spans="1:17">
      <c r="A245" t="s">
        <v>259</v>
      </c>
      <c r="B245" t="s">
        <v>253</v>
      </c>
      <c r="C245" s="3">
        <v>9.1847854860000009</v>
      </c>
      <c r="D245" s="3">
        <v>11.475256079999999</v>
      </c>
      <c r="E245" s="3">
        <v>3.5534119070000001</v>
      </c>
      <c r="F245" s="3">
        <v>7.3517739500000001</v>
      </c>
      <c r="G245" s="3">
        <v>1.5170352600000001</v>
      </c>
      <c r="H245" s="3">
        <v>0.69481241000000005</v>
      </c>
      <c r="I245" s="3">
        <v>0.108850139</v>
      </c>
      <c r="J245" s="3">
        <v>9.7640506479999996</v>
      </c>
      <c r="K245" s="3">
        <v>5.1036097910000002</v>
      </c>
      <c r="L245" s="3">
        <v>45.039495119999998</v>
      </c>
      <c r="M245" s="3">
        <f t="shared" si="7"/>
        <v>16.536559436000001</v>
      </c>
      <c r="N245" s="3">
        <f>D245+G245+K245+E245</f>
        <v>21.649313037999999</v>
      </c>
      <c r="O245" s="3">
        <f t="shared" si="8"/>
        <v>55.607208317000001</v>
      </c>
      <c r="P245" s="3">
        <v>54.803545759999999</v>
      </c>
      <c r="Q245" s="3">
        <v>1.625885399</v>
      </c>
    </row>
    <row r="246" spans="1:17">
      <c r="A246" t="s">
        <v>260</v>
      </c>
      <c r="B246" t="s">
        <v>253</v>
      </c>
      <c r="C246" s="3">
        <v>9.1847854860000009</v>
      </c>
      <c r="D246" s="3">
        <v>11.475256079999999</v>
      </c>
      <c r="E246" s="3">
        <v>3.5534119070000001</v>
      </c>
      <c r="F246" s="3">
        <v>7.3517739500000001</v>
      </c>
      <c r="G246" s="3">
        <v>1.5170352600000001</v>
      </c>
      <c r="H246" s="3">
        <v>0.69481241000000005</v>
      </c>
      <c r="I246" s="3">
        <v>0.108850139</v>
      </c>
      <c r="J246" s="3">
        <v>9.7640506479999996</v>
      </c>
      <c r="K246" s="3">
        <v>5.1036097910000002</v>
      </c>
      <c r="L246" s="3">
        <v>45.039495119999998</v>
      </c>
      <c r="M246" s="3">
        <f t="shared" si="7"/>
        <v>16.536559436000001</v>
      </c>
      <c r="N246" s="3">
        <f>D246+G246+K246+E246</f>
        <v>21.649313037999999</v>
      </c>
      <c r="O246" s="3">
        <f t="shared" si="8"/>
        <v>55.607208317000001</v>
      </c>
      <c r="P246" s="3">
        <v>54.803545759999999</v>
      </c>
      <c r="Q246" s="3">
        <v>1.625885399</v>
      </c>
    </row>
    <row r="247" spans="1:17">
      <c r="A247" t="s">
        <v>261</v>
      </c>
      <c r="B247" t="s">
        <v>253</v>
      </c>
      <c r="C247" s="3">
        <v>9.1847854860000009</v>
      </c>
      <c r="D247" s="3">
        <v>11.475256079999999</v>
      </c>
      <c r="E247" s="3">
        <v>3.5534119070000001</v>
      </c>
      <c r="F247" s="3">
        <v>7.3517739500000001</v>
      </c>
      <c r="G247" s="3">
        <v>1.5170352600000001</v>
      </c>
      <c r="H247" s="3">
        <v>0.69481241000000005</v>
      </c>
      <c r="I247" s="3">
        <v>0.108850139</v>
      </c>
      <c r="J247" s="3">
        <v>9.7640506479999996</v>
      </c>
      <c r="K247" s="3">
        <v>5.1036097910000002</v>
      </c>
      <c r="L247" s="3">
        <v>45.039495119999998</v>
      </c>
      <c r="M247" s="3">
        <f t="shared" si="7"/>
        <v>16.536559436000001</v>
      </c>
      <c r="N247" s="3">
        <f>D247+G247+K247+E247</f>
        <v>21.649313037999999</v>
      </c>
      <c r="O247" s="3">
        <f t="shared" si="8"/>
        <v>55.607208317000001</v>
      </c>
      <c r="P247" s="3">
        <v>54.803545759999999</v>
      </c>
      <c r="Q247" s="3">
        <v>1.625885399</v>
      </c>
    </row>
    <row r="248" spans="1:17">
      <c r="A248" t="s">
        <v>262</v>
      </c>
      <c r="B248" t="s">
        <v>253</v>
      </c>
      <c r="C248" s="3">
        <v>9.8464974670000007</v>
      </c>
      <c r="D248" s="3">
        <v>8.4570871990000001</v>
      </c>
      <c r="E248" s="3">
        <v>3.5533236050000001</v>
      </c>
      <c r="F248" s="3">
        <v>7.894225595</v>
      </c>
      <c r="G248" s="3">
        <v>1.4927116789999999</v>
      </c>
      <c r="H248" s="3">
        <v>0.57931708100000001</v>
      </c>
      <c r="I248" s="3">
        <v>0.14989058599999999</v>
      </c>
      <c r="J248" s="3">
        <v>8.8875053550000001</v>
      </c>
      <c r="K248" s="3">
        <v>5.1184526339999996</v>
      </c>
      <c r="L248" s="3">
        <v>48.632746189999999</v>
      </c>
      <c r="M248" s="3">
        <f t="shared" si="7"/>
        <v>17.740723062000001</v>
      </c>
      <c r="N248" s="3">
        <f>D248+G248+K248+E248</f>
        <v>18.621575116999999</v>
      </c>
      <c r="O248" s="3">
        <f t="shared" si="8"/>
        <v>58.249459211999998</v>
      </c>
      <c r="P248" s="3">
        <v>57.520251549999998</v>
      </c>
      <c r="Q248" s="3">
        <v>1.6426022650000001</v>
      </c>
    </row>
    <row r="249" spans="1:17">
      <c r="A249" t="s">
        <v>263</v>
      </c>
      <c r="B249" t="s">
        <v>253</v>
      </c>
      <c r="C249" s="3">
        <v>9.8464974670000007</v>
      </c>
      <c r="D249" s="3">
        <v>8.4570871990000001</v>
      </c>
      <c r="E249" s="3">
        <v>3.5533236050000001</v>
      </c>
      <c r="F249" s="3">
        <v>7.894225595</v>
      </c>
      <c r="G249" s="3">
        <v>1.4927116789999999</v>
      </c>
      <c r="H249" s="3">
        <v>0.57931708100000001</v>
      </c>
      <c r="I249" s="3">
        <v>0.14989058599999999</v>
      </c>
      <c r="J249" s="3">
        <v>8.8875053550000001</v>
      </c>
      <c r="K249" s="3">
        <v>5.1184526339999996</v>
      </c>
      <c r="L249" s="3">
        <v>48.632746189999999</v>
      </c>
      <c r="M249" s="3">
        <f t="shared" si="7"/>
        <v>17.740723062000001</v>
      </c>
      <c r="N249" s="3">
        <f>D249+G249+K249+E249</f>
        <v>18.621575116999999</v>
      </c>
      <c r="O249" s="3">
        <f t="shared" si="8"/>
        <v>58.249459211999998</v>
      </c>
      <c r="P249" s="3">
        <v>57.520251549999998</v>
      </c>
      <c r="Q249" s="3">
        <v>1.6426022650000001</v>
      </c>
    </row>
    <row r="250" spans="1:17">
      <c r="A250" t="s">
        <v>264</v>
      </c>
      <c r="B250" t="s">
        <v>253</v>
      </c>
      <c r="C250" s="3">
        <v>9.8464974670000007</v>
      </c>
      <c r="D250" s="3">
        <v>8.4570871990000001</v>
      </c>
      <c r="E250" s="3">
        <v>3.5533236050000001</v>
      </c>
      <c r="F250" s="3">
        <v>7.894225595</v>
      </c>
      <c r="G250" s="3">
        <v>1.4927116789999999</v>
      </c>
      <c r="H250" s="3">
        <v>0.57931708100000001</v>
      </c>
      <c r="I250" s="3">
        <v>0.14989058599999999</v>
      </c>
      <c r="J250" s="3">
        <v>8.8875053550000001</v>
      </c>
      <c r="K250" s="3">
        <v>5.1184526339999996</v>
      </c>
      <c r="L250" s="3">
        <v>48.632746189999999</v>
      </c>
      <c r="M250" s="3">
        <f t="shared" si="7"/>
        <v>17.740723062000001</v>
      </c>
      <c r="N250" s="3">
        <f>D250+G250+K250+E250</f>
        <v>18.621575116999999</v>
      </c>
      <c r="O250" s="3">
        <f t="shared" si="8"/>
        <v>58.249459211999998</v>
      </c>
      <c r="P250" s="3">
        <v>57.520251549999998</v>
      </c>
      <c r="Q250" s="3">
        <v>1.6426022650000001</v>
      </c>
    </row>
    <row r="251" spans="1:17">
      <c r="A251" t="s">
        <v>265</v>
      </c>
      <c r="B251" t="s">
        <v>253</v>
      </c>
      <c r="C251" s="3">
        <v>8.0646475570000007</v>
      </c>
      <c r="D251" s="3">
        <v>4.8054280629999999</v>
      </c>
      <c r="E251" s="3">
        <v>2.9425139069999999</v>
      </c>
      <c r="F251" s="3">
        <v>6.8065404750000003</v>
      </c>
      <c r="G251" s="3">
        <v>1.213355819</v>
      </c>
      <c r="H251" s="3">
        <v>0.64008321499999998</v>
      </c>
      <c r="I251" s="3">
        <v>0.16067763600000001</v>
      </c>
      <c r="J251" s="3">
        <v>7.2134370409999997</v>
      </c>
      <c r="K251" s="3">
        <v>5.7739291460000004</v>
      </c>
      <c r="L251" s="3">
        <v>56.78243097</v>
      </c>
      <c r="M251" s="3">
        <f t="shared" si="7"/>
        <v>14.871188032000001</v>
      </c>
      <c r="N251" s="3">
        <f>D251+G251+K251+E251</f>
        <v>14.735226935000002</v>
      </c>
      <c r="O251" s="3">
        <f t="shared" si="8"/>
        <v>64.796628862000006</v>
      </c>
      <c r="P251" s="3">
        <v>63.995868010000002</v>
      </c>
      <c r="Q251" s="3">
        <v>1.374033455</v>
      </c>
    </row>
    <row r="252" spans="1:17">
      <c r="A252" t="s">
        <v>266</v>
      </c>
      <c r="B252" t="s">
        <v>253</v>
      </c>
      <c r="C252" s="3">
        <v>8.0646475570000007</v>
      </c>
      <c r="D252" s="3">
        <v>4.8054280629999999</v>
      </c>
      <c r="E252" s="3">
        <v>2.9425139069999999</v>
      </c>
      <c r="F252" s="3">
        <v>6.8065404750000003</v>
      </c>
      <c r="G252" s="3">
        <v>1.213355819</v>
      </c>
      <c r="H252" s="3">
        <v>0.64008321499999998</v>
      </c>
      <c r="I252" s="3">
        <v>0.16067763600000001</v>
      </c>
      <c r="J252" s="3">
        <v>7.2134370409999997</v>
      </c>
      <c r="K252" s="3">
        <v>5.7739291460000004</v>
      </c>
      <c r="L252" s="3">
        <v>56.78243097</v>
      </c>
      <c r="M252" s="3">
        <f t="shared" si="7"/>
        <v>14.871188032000001</v>
      </c>
      <c r="N252" s="3">
        <f>D252+G252+K252+E252</f>
        <v>14.735226935000002</v>
      </c>
      <c r="O252" s="3">
        <f t="shared" si="8"/>
        <v>64.796628862000006</v>
      </c>
      <c r="P252" s="3">
        <v>63.995868010000002</v>
      </c>
      <c r="Q252" s="3">
        <v>1.374033455</v>
      </c>
    </row>
    <row r="253" spans="1:17">
      <c r="A253" t="s">
        <v>267</v>
      </c>
      <c r="B253" t="s">
        <v>253</v>
      </c>
      <c r="C253" s="3">
        <v>8.0646475570000007</v>
      </c>
      <c r="D253" s="3">
        <v>4.8054280629999999</v>
      </c>
      <c r="E253" s="3">
        <v>2.9425139069999999</v>
      </c>
      <c r="F253" s="3">
        <v>6.8065404750000003</v>
      </c>
      <c r="G253" s="3">
        <v>1.213355819</v>
      </c>
      <c r="H253" s="3">
        <v>0.64008321499999998</v>
      </c>
      <c r="I253" s="3">
        <v>0.16067763600000001</v>
      </c>
      <c r="J253" s="3">
        <v>7.2134370409999997</v>
      </c>
      <c r="K253" s="3">
        <v>5.7739291460000004</v>
      </c>
      <c r="L253" s="3">
        <v>56.78243097</v>
      </c>
      <c r="M253" s="3">
        <f t="shared" si="7"/>
        <v>14.871188032000001</v>
      </c>
      <c r="N253" s="3">
        <f>D253+G253+K253+E253</f>
        <v>14.735226935000002</v>
      </c>
      <c r="O253" s="3">
        <f t="shared" si="8"/>
        <v>64.796628862000006</v>
      </c>
      <c r="P253" s="3">
        <v>63.995868010000002</v>
      </c>
      <c r="Q253" s="3">
        <v>1.374033455</v>
      </c>
    </row>
    <row r="254" spans="1:17">
      <c r="A254" t="s">
        <v>268</v>
      </c>
      <c r="B254" t="s">
        <v>253</v>
      </c>
      <c r="C254" s="3">
        <v>8.8120093589999993</v>
      </c>
      <c r="D254" s="3">
        <v>4.9922494080000002</v>
      </c>
      <c r="E254" s="3">
        <v>3.3730744979999998</v>
      </c>
      <c r="F254" s="3">
        <v>5.0026561120000004</v>
      </c>
      <c r="G254" s="3">
        <v>1.4713953879999999</v>
      </c>
      <c r="H254" s="3">
        <v>0.59724094800000005</v>
      </c>
      <c r="I254" s="3">
        <v>0.112192339</v>
      </c>
      <c r="J254" s="3">
        <v>8.0861276039999996</v>
      </c>
      <c r="K254" s="3">
        <v>5.6177887609999999</v>
      </c>
      <c r="L254" s="3">
        <v>56.620993910000003</v>
      </c>
      <c r="M254" s="3">
        <f t="shared" si="7"/>
        <v>13.814665471</v>
      </c>
      <c r="N254" s="3">
        <f>D254+G254+K254+E254</f>
        <v>15.454508055</v>
      </c>
      <c r="O254" s="3">
        <f t="shared" si="8"/>
        <v>65.416554801000004</v>
      </c>
      <c r="P254" s="3">
        <v>64.707121509999993</v>
      </c>
      <c r="Q254" s="3">
        <v>1.5835877270000001</v>
      </c>
    </row>
    <row r="255" spans="1:17">
      <c r="A255" t="s">
        <v>269</v>
      </c>
      <c r="B255" t="s">
        <v>253</v>
      </c>
      <c r="C255" s="3">
        <v>8.8120093589999993</v>
      </c>
      <c r="D255" s="3">
        <v>4.9922494080000002</v>
      </c>
      <c r="E255" s="3">
        <v>3.3730744979999998</v>
      </c>
      <c r="F255" s="3">
        <v>5.0026561120000004</v>
      </c>
      <c r="G255" s="3">
        <v>1.4713953879999999</v>
      </c>
      <c r="H255" s="3">
        <v>0.59724094800000005</v>
      </c>
      <c r="I255" s="3">
        <v>0.112192339</v>
      </c>
      <c r="J255" s="3">
        <v>8.0861276039999996</v>
      </c>
      <c r="K255" s="3">
        <v>5.6177887609999999</v>
      </c>
      <c r="L255" s="3">
        <v>56.620993910000003</v>
      </c>
      <c r="M255" s="3">
        <f t="shared" si="7"/>
        <v>13.814665471</v>
      </c>
      <c r="N255" s="3">
        <f>D255+G255+K255+E255</f>
        <v>15.454508055</v>
      </c>
      <c r="O255" s="3">
        <f t="shared" si="8"/>
        <v>65.416554801000004</v>
      </c>
      <c r="P255" s="3">
        <v>64.707121509999993</v>
      </c>
      <c r="Q255" s="3">
        <v>1.5835877270000001</v>
      </c>
    </row>
    <row r="256" spans="1:17">
      <c r="A256" t="s">
        <v>270</v>
      </c>
      <c r="B256" t="s">
        <v>253</v>
      </c>
      <c r="C256" s="3">
        <v>8.8120093589999993</v>
      </c>
      <c r="D256" s="3">
        <v>4.9922494080000002</v>
      </c>
      <c r="E256" s="3">
        <v>3.3730744979999998</v>
      </c>
      <c r="F256" s="3">
        <v>5.0026561120000004</v>
      </c>
      <c r="G256" s="3">
        <v>1.4713953879999999</v>
      </c>
      <c r="H256" s="3">
        <v>0.59724094800000005</v>
      </c>
      <c r="I256" s="3">
        <v>0.112192339</v>
      </c>
      <c r="J256" s="3">
        <v>8.0861276039999996</v>
      </c>
      <c r="K256" s="3">
        <v>5.6177887609999999</v>
      </c>
      <c r="L256" s="3">
        <v>56.620993910000003</v>
      </c>
      <c r="M256" s="3">
        <f t="shared" si="7"/>
        <v>13.814665471</v>
      </c>
      <c r="N256" s="3">
        <f>D256+G256+K256+E256</f>
        <v>15.454508055</v>
      </c>
      <c r="O256" s="3">
        <f t="shared" si="8"/>
        <v>65.416554801000004</v>
      </c>
      <c r="P256" s="3">
        <v>64.707121509999993</v>
      </c>
      <c r="Q256" s="3">
        <v>1.5835877270000001</v>
      </c>
    </row>
    <row r="257" spans="1:46">
      <c r="A257" t="s">
        <v>271</v>
      </c>
      <c r="B257" t="s">
        <v>253</v>
      </c>
      <c r="C257" s="3">
        <v>8.3204161360000004</v>
      </c>
      <c r="D257" s="3">
        <v>6.3729616059999996</v>
      </c>
      <c r="E257" s="3">
        <v>2.9995839599999998</v>
      </c>
      <c r="F257" s="3">
        <v>6.3086793710000002</v>
      </c>
      <c r="G257" s="3">
        <v>1.1430815080000001</v>
      </c>
      <c r="H257" s="3">
        <v>0.64018357999999997</v>
      </c>
      <c r="I257" s="3">
        <v>0.14027563200000001</v>
      </c>
      <c r="J257" s="3">
        <v>8.0858562060000008</v>
      </c>
      <c r="K257" s="3">
        <v>5.6818225360000003</v>
      </c>
      <c r="L257" s="3">
        <v>54.781359590000001</v>
      </c>
      <c r="M257" s="3">
        <f t="shared" si="7"/>
        <v>14.629095507000001</v>
      </c>
      <c r="N257" s="3">
        <f>D257+G257+K257+E257</f>
        <v>16.19744961</v>
      </c>
      <c r="O257" s="3">
        <f t="shared" si="8"/>
        <v>63.647675008</v>
      </c>
      <c r="P257" s="3">
        <v>62.867215799999997</v>
      </c>
      <c r="Q257" s="3">
        <v>1.2833571399999999</v>
      </c>
    </row>
    <row r="258" spans="1:46">
      <c r="A258" t="s">
        <v>272</v>
      </c>
      <c r="B258" t="s">
        <v>253</v>
      </c>
      <c r="C258" s="3">
        <v>8.3204161360000004</v>
      </c>
      <c r="D258" s="3">
        <v>6.3729616059999996</v>
      </c>
      <c r="E258" s="3">
        <v>2.9995839599999998</v>
      </c>
      <c r="F258" s="3">
        <v>6.3086793710000002</v>
      </c>
      <c r="G258" s="3">
        <v>1.1430815080000001</v>
      </c>
      <c r="H258" s="3">
        <v>0.64018357999999997</v>
      </c>
      <c r="I258" s="3">
        <v>0.14027563200000001</v>
      </c>
      <c r="J258" s="3">
        <v>8.0858562060000008</v>
      </c>
      <c r="K258" s="3">
        <v>5.6818225360000003</v>
      </c>
      <c r="L258" s="3">
        <v>54.781359590000001</v>
      </c>
      <c r="M258" s="3">
        <f t="shared" si="7"/>
        <v>14.629095507000001</v>
      </c>
      <c r="N258" s="3">
        <f>D258+G258+K258+E258</f>
        <v>16.19744961</v>
      </c>
      <c r="O258" s="3">
        <f t="shared" si="8"/>
        <v>63.647675008</v>
      </c>
      <c r="P258" s="3">
        <v>62.867215799999997</v>
      </c>
      <c r="Q258" s="3">
        <v>1.2833571399999999</v>
      </c>
    </row>
    <row r="259" spans="1:46">
      <c r="A259" t="s">
        <v>273</v>
      </c>
      <c r="B259" t="s">
        <v>253</v>
      </c>
      <c r="C259" s="3">
        <v>8.3204161360000004</v>
      </c>
      <c r="D259" s="3">
        <v>6.3729616059999996</v>
      </c>
      <c r="E259" s="3">
        <v>2.9995839599999998</v>
      </c>
      <c r="F259" s="3">
        <v>6.3086793710000002</v>
      </c>
      <c r="G259" s="3">
        <v>1.1430815080000001</v>
      </c>
      <c r="H259" s="3">
        <v>0.64018357999999997</v>
      </c>
      <c r="I259" s="3">
        <v>0.14027563200000001</v>
      </c>
      <c r="J259" s="3">
        <v>8.0858562060000008</v>
      </c>
      <c r="K259" s="3">
        <v>5.6818225360000003</v>
      </c>
      <c r="L259" s="3">
        <v>54.781359590000001</v>
      </c>
      <c r="M259" s="3">
        <f t="shared" ref="M259:M289" si="9">C259+F259</f>
        <v>14.629095507000001</v>
      </c>
      <c r="N259" s="3">
        <f>D259+G259+K259+E259</f>
        <v>16.19744961</v>
      </c>
      <c r="O259" s="3">
        <f t="shared" si="8"/>
        <v>63.647675008</v>
      </c>
      <c r="P259" s="3">
        <v>62.867215799999997</v>
      </c>
      <c r="Q259" s="3">
        <v>1.2833571399999999</v>
      </c>
    </row>
    <row r="260" spans="1:46">
      <c r="A260" t="s">
        <v>274</v>
      </c>
      <c r="B260" t="s">
        <v>253</v>
      </c>
      <c r="C260" s="3">
        <v>9.0717319950000004</v>
      </c>
      <c r="D260" s="3">
        <v>5.153639954</v>
      </c>
      <c r="E260" s="3">
        <v>3.817474544</v>
      </c>
      <c r="F260" s="3">
        <v>6.2248824300000001</v>
      </c>
      <c r="G260" s="3">
        <v>0.86073126700000002</v>
      </c>
      <c r="H260" s="3">
        <v>0.83442597100000004</v>
      </c>
      <c r="I260" s="3">
        <v>0.211608606</v>
      </c>
      <c r="J260" s="3">
        <v>9.2332398219999998</v>
      </c>
      <c r="K260" s="3">
        <v>5.719697203</v>
      </c>
      <c r="L260" s="3">
        <v>52.422661069999997</v>
      </c>
      <c r="M260" s="3">
        <f t="shared" si="9"/>
        <v>15.296614425000001</v>
      </c>
      <c r="N260" s="3">
        <f>D260+G260+K260+E260</f>
        <v>15.551542968</v>
      </c>
      <c r="O260" s="3">
        <f t="shared" si="8"/>
        <v>62.701935468999999</v>
      </c>
      <c r="P260" s="3">
        <v>61.655900899999999</v>
      </c>
      <c r="Q260" s="3">
        <v>1.0723398740000001</v>
      </c>
    </row>
    <row r="261" spans="1:46">
      <c r="A261" t="s">
        <v>275</v>
      </c>
      <c r="B261" t="s">
        <v>253</v>
      </c>
      <c r="C261" s="3">
        <v>9.0717319950000004</v>
      </c>
      <c r="D261" s="3">
        <v>5.153639954</v>
      </c>
      <c r="E261" s="3">
        <v>3.817474544</v>
      </c>
      <c r="F261" s="3">
        <v>6.2248824300000001</v>
      </c>
      <c r="G261" s="3">
        <v>0.86073126700000002</v>
      </c>
      <c r="H261" s="3">
        <v>0.83442597100000004</v>
      </c>
      <c r="I261" s="3">
        <v>0.211608606</v>
      </c>
      <c r="J261" s="3">
        <v>9.2332398219999998</v>
      </c>
      <c r="K261" s="3">
        <v>5.719697203</v>
      </c>
      <c r="L261" s="3">
        <v>52.422661069999997</v>
      </c>
      <c r="M261" s="3">
        <f t="shared" si="9"/>
        <v>15.296614425000001</v>
      </c>
      <c r="N261" s="3">
        <f>D261+G261+K261+E261</f>
        <v>15.551542968</v>
      </c>
      <c r="O261" s="3">
        <f t="shared" si="8"/>
        <v>62.701935468999999</v>
      </c>
      <c r="P261" s="3">
        <v>61.655900899999999</v>
      </c>
      <c r="Q261" s="3">
        <v>1.0723398740000001</v>
      </c>
    </row>
    <row r="262" spans="1:46">
      <c r="A262" t="s">
        <v>276</v>
      </c>
      <c r="B262" t="s">
        <v>253</v>
      </c>
      <c r="C262" s="3">
        <v>9.0717319950000004</v>
      </c>
      <c r="D262" s="3">
        <v>5.153639954</v>
      </c>
      <c r="E262" s="3">
        <v>3.817474544</v>
      </c>
      <c r="F262" s="3">
        <v>6.2248824300000001</v>
      </c>
      <c r="G262" s="3">
        <v>0.86073126700000002</v>
      </c>
      <c r="H262" s="3">
        <v>0.83442597100000004</v>
      </c>
      <c r="I262" s="3">
        <v>0.211608606</v>
      </c>
      <c r="J262" s="3">
        <v>9.2332398219999998</v>
      </c>
      <c r="K262" s="3">
        <v>5.719697203</v>
      </c>
      <c r="L262" s="3">
        <v>52.422661069999997</v>
      </c>
      <c r="M262" s="3">
        <f t="shared" si="9"/>
        <v>15.296614425000001</v>
      </c>
      <c r="N262" s="3">
        <f>D262+G262+K262+E262</f>
        <v>15.551542968</v>
      </c>
      <c r="O262" s="3">
        <f t="shared" si="8"/>
        <v>62.701935468999999</v>
      </c>
      <c r="P262" s="3">
        <v>61.655900899999999</v>
      </c>
      <c r="Q262" s="3">
        <v>1.0723398740000001</v>
      </c>
    </row>
    <row r="263" spans="1:46">
      <c r="A263" t="s">
        <v>277</v>
      </c>
      <c r="B263" t="s">
        <v>253</v>
      </c>
      <c r="C263" s="3">
        <v>11.048855115</v>
      </c>
      <c r="D263" s="3">
        <v>5.086385237</v>
      </c>
      <c r="E263" s="3">
        <v>3.6134965985000003</v>
      </c>
      <c r="F263" s="3">
        <v>5.6556581739999991</v>
      </c>
      <c r="G263" s="3">
        <v>1.9510256754999999</v>
      </c>
      <c r="H263" s="3">
        <v>0.39556728399999996</v>
      </c>
      <c r="I263" s="3">
        <v>1.6690005795</v>
      </c>
      <c r="J263" s="3">
        <v>11.932010245000001</v>
      </c>
      <c r="K263" s="3">
        <v>2.0524411580000002</v>
      </c>
      <c r="L263" s="3">
        <v>52.530911119999999</v>
      </c>
      <c r="M263" s="3">
        <f t="shared" si="9"/>
        <v>16.704513288999998</v>
      </c>
      <c r="N263" s="3">
        <f>D263+G263+K263+E263</f>
        <v>12.703348669</v>
      </c>
      <c r="O263" s="3">
        <f t="shared" si="8"/>
        <v>66.527489228500002</v>
      </c>
      <c r="P263" s="3">
        <v>64.462921370000004</v>
      </c>
      <c r="Q263" s="3">
        <v>3.6200262555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</row>
    <row r="264" spans="1:46">
      <c r="A264" t="s">
        <v>278</v>
      </c>
      <c r="B264" t="s">
        <v>253</v>
      </c>
      <c r="C264">
        <v>11.048855115</v>
      </c>
      <c r="D264">
        <v>5.086385237</v>
      </c>
      <c r="E264">
        <v>3.6134965985000003</v>
      </c>
      <c r="F264">
        <v>5.6556581739999991</v>
      </c>
      <c r="G264">
        <v>1.9510256754999999</v>
      </c>
      <c r="H264">
        <v>0.39556728399999996</v>
      </c>
      <c r="I264">
        <v>1.6690005795</v>
      </c>
      <c r="J264">
        <v>11.932010245000001</v>
      </c>
      <c r="K264">
        <v>2.0524411580000002</v>
      </c>
      <c r="L264">
        <v>52.530911119999999</v>
      </c>
      <c r="M264" s="3">
        <f t="shared" si="9"/>
        <v>16.704513288999998</v>
      </c>
      <c r="N264" s="3">
        <f>D264+G264+K264+E264</f>
        <v>12.703348669</v>
      </c>
      <c r="O264" s="3">
        <f t="shared" si="8"/>
        <v>66.527489228500002</v>
      </c>
      <c r="P264">
        <v>64.462921370000004</v>
      </c>
      <c r="Q264">
        <v>3.6200262555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</row>
    <row r="265" spans="1:46">
      <c r="A265" t="s">
        <v>279</v>
      </c>
      <c r="B265" t="s">
        <v>253</v>
      </c>
      <c r="C265">
        <v>11.048855115</v>
      </c>
      <c r="D265">
        <v>5.086385237</v>
      </c>
      <c r="E265">
        <v>3.6134965985000003</v>
      </c>
      <c r="F265">
        <v>5.6556581739999991</v>
      </c>
      <c r="G265">
        <v>1.9510256754999999</v>
      </c>
      <c r="H265">
        <v>0.39556728399999996</v>
      </c>
      <c r="I265">
        <v>1.6690005795</v>
      </c>
      <c r="J265">
        <v>11.932010245000001</v>
      </c>
      <c r="K265">
        <v>2.0524411580000002</v>
      </c>
      <c r="L265">
        <v>52.530911119999999</v>
      </c>
      <c r="M265" s="3">
        <f t="shared" si="9"/>
        <v>16.704513288999998</v>
      </c>
      <c r="N265" s="3">
        <f>D265+G265+K265+E265</f>
        <v>12.703348669</v>
      </c>
      <c r="O265" s="3">
        <f>J265+I265+H265+L265</f>
        <v>66.527489228500002</v>
      </c>
      <c r="P265">
        <v>64.462921370000004</v>
      </c>
      <c r="Q265">
        <v>3.6200262555</v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</row>
    <row r="266" spans="1:46">
      <c r="A266" t="s">
        <v>280</v>
      </c>
      <c r="B266" t="s">
        <v>253</v>
      </c>
      <c r="C266" s="3">
        <v>11.80211721</v>
      </c>
      <c r="D266" s="3">
        <v>4.8044264700000001</v>
      </c>
      <c r="E266" s="3">
        <v>3.7440864490000001</v>
      </c>
      <c r="F266" s="3">
        <v>4.8132119480000002</v>
      </c>
      <c r="G266" s="3">
        <v>1.4045205110000001</v>
      </c>
      <c r="H266" s="3">
        <v>0.52695656700000004</v>
      </c>
      <c r="I266" s="3">
        <v>1.518627081</v>
      </c>
      <c r="J266" s="3">
        <v>12.40431543</v>
      </c>
      <c r="K266" s="3">
        <v>2.1496155689999998</v>
      </c>
      <c r="L266" s="3">
        <v>52.153372470000001</v>
      </c>
      <c r="M266" s="3">
        <f t="shared" si="9"/>
        <v>16.615329158000002</v>
      </c>
      <c r="N266" s="3">
        <f>D266+G266+K266+E266</f>
        <v>12.102648998999999</v>
      </c>
      <c r="O266" s="3">
        <f t="shared" si="8"/>
        <v>66.603271548000009</v>
      </c>
      <c r="P266" s="3">
        <v>64.557687900000005</v>
      </c>
      <c r="Q266" s="3">
        <v>2.9231475919999999</v>
      </c>
    </row>
    <row r="267" spans="1:46">
      <c r="A267" t="s">
        <v>281</v>
      </c>
      <c r="B267" t="s">
        <v>253</v>
      </c>
      <c r="C267" s="3">
        <v>11.80211721</v>
      </c>
      <c r="D267" s="3">
        <v>4.8044264700000001</v>
      </c>
      <c r="E267" s="3">
        <v>3.7440864490000001</v>
      </c>
      <c r="F267" s="3">
        <v>4.8132119480000002</v>
      </c>
      <c r="G267" s="3">
        <v>1.4045205110000001</v>
      </c>
      <c r="H267" s="3">
        <v>0.52695656700000004</v>
      </c>
      <c r="I267" s="3">
        <v>1.518627081</v>
      </c>
      <c r="J267" s="3">
        <v>12.40431543</v>
      </c>
      <c r="K267" s="3">
        <v>2.1496155689999998</v>
      </c>
      <c r="L267" s="3">
        <v>52.153372470000001</v>
      </c>
      <c r="M267" s="3">
        <f t="shared" si="9"/>
        <v>16.615329158000002</v>
      </c>
      <c r="N267" s="3">
        <f>D267+G267+K267+E267</f>
        <v>12.102648998999999</v>
      </c>
      <c r="O267" s="3">
        <f t="shared" si="8"/>
        <v>66.603271548000009</v>
      </c>
      <c r="P267" s="3">
        <v>64.557687900000005</v>
      </c>
      <c r="Q267" s="3">
        <v>2.9231475919999999</v>
      </c>
    </row>
    <row r="268" spans="1:46">
      <c r="A268" t="s">
        <v>282</v>
      </c>
      <c r="B268" t="s">
        <v>253</v>
      </c>
      <c r="C268" s="3">
        <v>11.80211721</v>
      </c>
      <c r="D268" s="3">
        <v>4.8044264700000001</v>
      </c>
      <c r="E268" s="3">
        <v>3.7440864490000001</v>
      </c>
      <c r="F268" s="3">
        <v>4.8132119480000002</v>
      </c>
      <c r="G268" s="3">
        <v>1.4045205110000001</v>
      </c>
      <c r="H268" s="3">
        <v>0.52695656700000004</v>
      </c>
      <c r="I268" s="3">
        <v>1.518627081</v>
      </c>
      <c r="J268" s="3">
        <v>12.40431543</v>
      </c>
      <c r="K268" s="3">
        <v>2.1496155689999998</v>
      </c>
      <c r="L268" s="3">
        <v>52.153372470000001</v>
      </c>
      <c r="M268" s="3">
        <f t="shared" si="9"/>
        <v>16.615329158000002</v>
      </c>
      <c r="N268" s="3">
        <f>D268+G268+K268+E268</f>
        <v>12.102648998999999</v>
      </c>
      <c r="O268" s="3">
        <f t="shared" si="8"/>
        <v>66.603271548000009</v>
      </c>
      <c r="P268" s="3">
        <v>64.557687900000005</v>
      </c>
      <c r="Q268" s="3">
        <v>2.9231475919999999</v>
      </c>
    </row>
    <row r="269" spans="1:46">
      <c r="A269" t="s">
        <v>283</v>
      </c>
      <c r="B269" t="s">
        <v>253</v>
      </c>
      <c r="C269" s="3">
        <v>15.06767657</v>
      </c>
      <c r="D269" s="3">
        <v>4.9641098039999996</v>
      </c>
      <c r="E269" s="3">
        <v>4.0561297759999997</v>
      </c>
      <c r="F269" s="3">
        <v>5.6265708879999998</v>
      </c>
      <c r="G269" s="3">
        <v>1.9709882729999999</v>
      </c>
      <c r="H269" s="3">
        <v>0.39163663799999998</v>
      </c>
      <c r="I269" s="3">
        <v>1.3326398079999999</v>
      </c>
      <c r="J269" s="3">
        <v>11.08627218</v>
      </c>
      <c r="K269" s="3">
        <v>2.0198482910000002</v>
      </c>
      <c r="L269" s="3">
        <v>49.297034940000003</v>
      </c>
      <c r="M269" s="3">
        <f t="shared" si="9"/>
        <v>20.694247458</v>
      </c>
      <c r="N269" s="3">
        <f>D269+G269+K269+E269</f>
        <v>13.011076144</v>
      </c>
      <c r="O269" s="3">
        <f t="shared" si="8"/>
        <v>62.107583566000002</v>
      </c>
      <c r="P269" s="3">
        <v>60.383307129999999</v>
      </c>
      <c r="Q269" s="3">
        <v>3.3036280809999998</v>
      </c>
    </row>
    <row r="270" spans="1:46">
      <c r="A270" t="s">
        <v>284</v>
      </c>
      <c r="B270" t="s">
        <v>253</v>
      </c>
      <c r="C270" s="3">
        <v>15.06767657</v>
      </c>
      <c r="D270" s="3">
        <v>4.9641098039999996</v>
      </c>
      <c r="E270" s="3">
        <v>4.0561297759999997</v>
      </c>
      <c r="F270" s="3">
        <v>5.6265708879999998</v>
      </c>
      <c r="G270" s="3">
        <v>1.9709882729999999</v>
      </c>
      <c r="H270" s="3">
        <v>0.39163663799999998</v>
      </c>
      <c r="I270" s="3">
        <v>1.3326398079999999</v>
      </c>
      <c r="J270" s="3">
        <v>11.08627218</v>
      </c>
      <c r="K270" s="3">
        <v>2.0198482910000002</v>
      </c>
      <c r="L270" s="3">
        <v>49.297034940000003</v>
      </c>
      <c r="M270" s="3">
        <f t="shared" si="9"/>
        <v>20.694247458</v>
      </c>
      <c r="N270" s="3">
        <f>D270+G270+K270+E270</f>
        <v>13.011076144</v>
      </c>
      <c r="O270" s="3">
        <f t="shared" si="8"/>
        <v>62.107583566000002</v>
      </c>
      <c r="P270" s="3">
        <v>60.383307129999999</v>
      </c>
      <c r="Q270" s="3">
        <v>3.3036280809999998</v>
      </c>
    </row>
    <row r="271" spans="1:46">
      <c r="A271" t="s">
        <v>285</v>
      </c>
      <c r="B271" t="s">
        <v>253</v>
      </c>
      <c r="C271" s="3">
        <v>15.06767657</v>
      </c>
      <c r="D271" s="3">
        <v>4.9641098039999996</v>
      </c>
      <c r="E271" s="3">
        <v>4.0561297759999997</v>
      </c>
      <c r="F271" s="3">
        <v>5.6265708879999998</v>
      </c>
      <c r="G271" s="3">
        <v>1.9709882729999999</v>
      </c>
      <c r="H271" s="3">
        <v>0.39163663799999998</v>
      </c>
      <c r="I271" s="3">
        <v>1.3326398079999999</v>
      </c>
      <c r="J271" s="3">
        <v>11.08627218</v>
      </c>
      <c r="K271" s="3">
        <v>2.0198482910000002</v>
      </c>
      <c r="L271" s="3">
        <v>49.297034940000003</v>
      </c>
      <c r="M271" s="3">
        <f t="shared" si="9"/>
        <v>20.694247458</v>
      </c>
      <c r="N271" s="3">
        <f>D271+G271+K271+E271</f>
        <v>13.011076144</v>
      </c>
      <c r="O271" s="3">
        <f t="shared" si="8"/>
        <v>62.107583566000002</v>
      </c>
      <c r="P271" s="3">
        <v>60.383307129999999</v>
      </c>
      <c r="Q271" s="3">
        <v>3.3036280809999998</v>
      </c>
    </row>
    <row r="272" spans="1:46">
      <c r="A272" t="s">
        <v>286</v>
      </c>
      <c r="B272" t="s">
        <v>253</v>
      </c>
      <c r="C272" s="3">
        <v>11.2577009</v>
      </c>
      <c r="D272" s="3">
        <v>5.0870988019999999</v>
      </c>
      <c r="E272" s="3">
        <v>3.2136255149999999</v>
      </c>
      <c r="F272" s="3">
        <v>5.3213287879999998</v>
      </c>
      <c r="G272" s="3">
        <v>1.9105104660000001</v>
      </c>
      <c r="H272" s="3">
        <v>0.37639838599999997</v>
      </c>
      <c r="I272" s="3">
        <v>1.444442132</v>
      </c>
      <c r="J272" s="3">
        <v>12.31422281</v>
      </c>
      <c r="K272" s="3">
        <v>2.1107014610000001</v>
      </c>
      <c r="L272" s="3">
        <v>52.672176999999998</v>
      </c>
      <c r="M272" s="3">
        <f t="shared" si="9"/>
        <v>16.579029687999999</v>
      </c>
      <c r="N272" s="3">
        <f>D272+G272+K272+E272</f>
        <v>12.321936244</v>
      </c>
      <c r="O272" s="3">
        <f t="shared" si="8"/>
        <v>66.807240328000006</v>
      </c>
      <c r="P272" s="3">
        <v>64.986399809999995</v>
      </c>
      <c r="Q272" s="3">
        <v>3.354952597</v>
      </c>
    </row>
    <row r="273" spans="1:17">
      <c r="A273" t="s">
        <v>287</v>
      </c>
      <c r="B273" t="s">
        <v>253</v>
      </c>
      <c r="C273" s="3">
        <v>11.2577009</v>
      </c>
      <c r="D273" s="3">
        <v>5.0870988019999999</v>
      </c>
      <c r="E273" s="3">
        <v>3.2136255149999999</v>
      </c>
      <c r="F273" s="3">
        <v>5.3213287879999998</v>
      </c>
      <c r="G273" s="3">
        <v>1.9105104660000001</v>
      </c>
      <c r="H273" s="3">
        <v>0.37639838599999997</v>
      </c>
      <c r="I273" s="3">
        <v>1.444442132</v>
      </c>
      <c r="J273" s="3">
        <v>12.31422281</v>
      </c>
      <c r="K273" s="3">
        <v>2.1107014610000001</v>
      </c>
      <c r="L273" s="3">
        <v>52.672176999999998</v>
      </c>
      <c r="M273" s="3">
        <f t="shared" si="9"/>
        <v>16.579029687999999</v>
      </c>
      <c r="N273" s="3">
        <f>D273+G273+K273+E273</f>
        <v>12.321936244</v>
      </c>
      <c r="O273" s="3">
        <f t="shared" si="8"/>
        <v>66.807240328000006</v>
      </c>
      <c r="P273" s="3">
        <v>64.986399809999995</v>
      </c>
      <c r="Q273" s="3">
        <v>3.354952597</v>
      </c>
    </row>
    <row r="274" spans="1:17">
      <c r="A274" t="s">
        <v>288</v>
      </c>
      <c r="B274" t="s">
        <v>253</v>
      </c>
      <c r="C274" s="3">
        <v>11.2577009</v>
      </c>
      <c r="D274" s="3">
        <v>5.0870988019999999</v>
      </c>
      <c r="E274" s="3">
        <v>3.2136255149999999</v>
      </c>
      <c r="F274" s="3">
        <v>5.3213287879999998</v>
      </c>
      <c r="G274" s="3">
        <v>1.9105104660000001</v>
      </c>
      <c r="H274" s="3">
        <v>0.37639838599999997</v>
      </c>
      <c r="I274" s="3">
        <v>1.444442132</v>
      </c>
      <c r="J274" s="3">
        <v>12.31422281</v>
      </c>
      <c r="K274" s="3">
        <v>2.1107014610000001</v>
      </c>
      <c r="L274" s="3">
        <v>52.672176999999998</v>
      </c>
      <c r="M274" s="3">
        <f t="shared" si="9"/>
        <v>16.579029687999999</v>
      </c>
      <c r="N274" s="3">
        <f>D274+G274+K274+E274</f>
        <v>12.321936244</v>
      </c>
      <c r="O274" s="3">
        <f t="shared" si="8"/>
        <v>66.807240328000006</v>
      </c>
      <c r="P274" s="3">
        <v>64.986399809999995</v>
      </c>
      <c r="Q274" s="3">
        <v>3.354952597</v>
      </c>
    </row>
    <row r="275" spans="1:17">
      <c r="A275" t="s">
        <v>289</v>
      </c>
      <c r="B275" t="s">
        <v>253</v>
      </c>
      <c r="C275" s="3">
        <v>10.47176711</v>
      </c>
      <c r="D275" s="3">
        <v>5.0105762289999998</v>
      </c>
      <c r="E275" s="3">
        <v>3.3208107359999999</v>
      </c>
      <c r="F275" s="3">
        <v>5.6158448529999996</v>
      </c>
      <c r="G275" s="3">
        <v>1.4914978219999999</v>
      </c>
      <c r="H275" s="3">
        <v>0.52955274900000004</v>
      </c>
      <c r="I275" s="3">
        <v>1.4664796</v>
      </c>
      <c r="J275" s="3">
        <v>11.883513669999999</v>
      </c>
      <c r="K275" s="3">
        <v>2.2774031830000001</v>
      </c>
      <c r="L275" s="3">
        <v>53.219051710000002</v>
      </c>
      <c r="M275" s="3">
        <f t="shared" si="9"/>
        <v>16.087611963000001</v>
      </c>
      <c r="N275" s="3">
        <f>D275+G275+K275+E275</f>
        <v>12.10028797</v>
      </c>
      <c r="O275" s="3">
        <f t="shared" si="8"/>
        <v>67.098597729000005</v>
      </c>
      <c r="P275" s="3">
        <v>65.102565380000001</v>
      </c>
      <c r="Q275" s="3">
        <v>2.9579774219999999</v>
      </c>
    </row>
    <row r="276" spans="1:17">
      <c r="A276" t="s">
        <v>290</v>
      </c>
      <c r="B276" t="s">
        <v>253</v>
      </c>
      <c r="C276" s="3">
        <v>10.47176711</v>
      </c>
      <c r="D276" s="3">
        <v>5.0105762289999998</v>
      </c>
      <c r="E276" s="3">
        <v>3.3208107359999999</v>
      </c>
      <c r="F276" s="3">
        <v>5.6158448529999996</v>
      </c>
      <c r="G276" s="3">
        <v>1.4914978219999999</v>
      </c>
      <c r="H276" s="3">
        <v>0.52955274900000004</v>
      </c>
      <c r="I276" s="3">
        <v>1.4664796</v>
      </c>
      <c r="J276" s="3">
        <v>11.883513669999999</v>
      </c>
      <c r="K276" s="3">
        <v>2.2774031830000001</v>
      </c>
      <c r="L276" s="3">
        <v>53.219051710000002</v>
      </c>
      <c r="M276" s="3">
        <f t="shared" si="9"/>
        <v>16.087611963000001</v>
      </c>
      <c r="N276" s="3">
        <f>D276+G276+K276+E276</f>
        <v>12.10028797</v>
      </c>
      <c r="O276" s="3">
        <f t="shared" si="8"/>
        <v>67.098597729000005</v>
      </c>
      <c r="P276" s="3">
        <v>65.102565380000001</v>
      </c>
      <c r="Q276" s="3">
        <v>2.9579774219999999</v>
      </c>
    </row>
    <row r="277" spans="1:17">
      <c r="A277" t="s">
        <v>291</v>
      </c>
      <c r="B277" t="s">
        <v>253</v>
      </c>
      <c r="C277" s="3">
        <v>10.47176711</v>
      </c>
      <c r="D277" s="3">
        <v>5.0105762289999998</v>
      </c>
      <c r="E277" s="3">
        <v>3.3208107359999999</v>
      </c>
      <c r="F277" s="3">
        <v>5.6158448529999996</v>
      </c>
      <c r="G277" s="3">
        <v>1.4914978219999999</v>
      </c>
      <c r="H277" s="3">
        <v>0.52955274900000004</v>
      </c>
      <c r="I277" s="3">
        <v>1.4664796</v>
      </c>
      <c r="J277" s="3">
        <v>11.883513669999999</v>
      </c>
      <c r="K277" s="3">
        <v>2.2774031830000001</v>
      </c>
      <c r="L277" s="3">
        <v>53.219051710000002</v>
      </c>
      <c r="M277" s="3">
        <f t="shared" si="9"/>
        <v>16.087611963000001</v>
      </c>
      <c r="N277" s="3">
        <f>D277+G277+K277+E277</f>
        <v>12.10028797</v>
      </c>
      <c r="O277" s="3">
        <f t="shared" si="8"/>
        <v>67.098597729000005</v>
      </c>
      <c r="P277" s="3">
        <v>65.102565380000001</v>
      </c>
      <c r="Q277" s="3">
        <v>2.9579774219999999</v>
      </c>
    </row>
    <row r="278" spans="1:17">
      <c r="A278" t="s">
        <v>292</v>
      </c>
      <c r="B278" t="s">
        <v>253</v>
      </c>
      <c r="C278" s="3">
        <v>13.290292519999999</v>
      </c>
      <c r="D278" s="3">
        <v>6.239157434</v>
      </c>
      <c r="E278" s="3">
        <v>3.62251257</v>
      </c>
      <c r="F278" s="3">
        <v>5.6532204799999999</v>
      </c>
      <c r="G278" s="3">
        <v>1.3961128519999999</v>
      </c>
      <c r="H278" s="3">
        <v>0.42452922900000001</v>
      </c>
      <c r="I278" s="3">
        <v>0.84520509300000002</v>
      </c>
      <c r="J278" s="3">
        <v>12.26185664</v>
      </c>
      <c r="K278" s="3">
        <v>2.0230620240000001</v>
      </c>
      <c r="L278" s="3">
        <v>48.978578429999999</v>
      </c>
      <c r="M278" s="3">
        <f t="shared" si="9"/>
        <v>18.943512999999999</v>
      </c>
      <c r="N278" s="3">
        <f>D278+G278+K278+E278</f>
        <v>13.28084488</v>
      </c>
      <c r="O278" s="3">
        <f t="shared" si="8"/>
        <v>62.510169391999995</v>
      </c>
      <c r="P278" s="3">
        <v>61.240435069999997</v>
      </c>
      <c r="Q278" s="3">
        <v>2.241317945</v>
      </c>
    </row>
    <row r="279" spans="1:17">
      <c r="A279" t="s">
        <v>293</v>
      </c>
      <c r="B279" t="s">
        <v>253</v>
      </c>
      <c r="C279" s="3">
        <v>13.290292519999999</v>
      </c>
      <c r="D279" s="3">
        <v>6.239157434</v>
      </c>
      <c r="E279" s="3">
        <v>3.62251257</v>
      </c>
      <c r="F279" s="3">
        <v>5.6532204799999999</v>
      </c>
      <c r="G279" s="3">
        <v>1.3961128519999999</v>
      </c>
      <c r="H279" s="3">
        <v>0.42452922900000001</v>
      </c>
      <c r="I279" s="3">
        <v>0.84520509300000002</v>
      </c>
      <c r="J279" s="3">
        <v>12.26185664</v>
      </c>
      <c r="K279" s="3">
        <v>2.0230620240000001</v>
      </c>
      <c r="L279" s="3">
        <v>48.978578429999999</v>
      </c>
      <c r="M279" s="3">
        <f t="shared" si="9"/>
        <v>18.943512999999999</v>
      </c>
      <c r="N279" s="3">
        <f>D279+G279+K279+E279</f>
        <v>13.28084488</v>
      </c>
      <c r="O279" s="3">
        <f t="shared" ref="O279:O290" si="10">J279+I279+H279+L279</f>
        <v>62.510169391999995</v>
      </c>
      <c r="P279" s="3">
        <v>61.240435069999997</v>
      </c>
      <c r="Q279" s="3">
        <v>2.241317945</v>
      </c>
    </row>
    <row r="280" spans="1:17">
      <c r="A280" t="s">
        <v>294</v>
      </c>
      <c r="B280" t="s">
        <v>253</v>
      </c>
      <c r="C280" s="3">
        <v>13.290292519999999</v>
      </c>
      <c r="D280" s="3">
        <v>6.239157434</v>
      </c>
      <c r="E280" s="3">
        <v>3.62251257</v>
      </c>
      <c r="F280" s="3">
        <v>5.6532204799999999</v>
      </c>
      <c r="G280" s="3">
        <v>1.3961128519999999</v>
      </c>
      <c r="H280" s="3">
        <v>0.42452922900000001</v>
      </c>
      <c r="I280" s="3">
        <v>0.84520509300000002</v>
      </c>
      <c r="J280" s="3">
        <v>12.26185664</v>
      </c>
      <c r="K280" s="3">
        <v>2.0230620240000001</v>
      </c>
      <c r="L280" s="3">
        <v>48.978578429999999</v>
      </c>
      <c r="M280" s="3">
        <f t="shared" si="9"/>
        <v>18.943512999999999</v>
      </c>
      <c r="N280" s="3">
        <f>D280+G280+K280+E280</f>
        <v>13.28084488</v>
      </c>
      <c r="O280" s="3">
        <f t="shared" si="10"/>
        <v>62.510169391999995</v>
      </c>
      <c r="P280" s="3">
        <v>61.240435069999997</v>
      </c>
      <c r="Q280" s="3">
        <v>2.241317945</v>
      </c>
    </row>
    <row r="281" spans="1:17">
      <c r="A281" t="s">
        <v>295</v>
      </c>
      <c r="B281" t="s">
        <v>253</v>
      </c>
      <c r="C281" s="3">
        <v>14.08532144</v>
      </c>
      <c r="D281" s="3">
        <v>5.391388568</v>
      </c>
      <c r="E281" s="3">
        <v>4.1279761989999999</v>
      </c>
      <c r="F281" s="3">
        <v>5.3694072820000001</v>
      </c>
      <c r="G281" s="3">
        <v>0.85017757900000002</v>
      </c>
      <c r="H281" s="3">
        <v>0.78452085800000004</v>
      </c>
      <c r="I281" s="3">
        <v>1.211750713</v>
      </c>
      <c r="J281" s="3">
        <v>13.58431364</v>
      </c>
      <c r="K281" s="3">
        <v>2.2365960469999999</v>
      </c>
      <c r="L281" s="3">
        <v>46.339237150000002</v>
      </c>
      <c r="M281" s="3">
        <f t="shared" si="9"/>
        <v>19.454728721999999</v>
      </c>
      <c r="N281" s="3">
        <f>D281+G281+K281+E281</f>
        <v>12.606138392999998</v>
      </c>
      <c r="O281" s="3">
        <f t="shared" si="10"/>
        <v>61.919822361000001</v>
      </c>
      <c r="P281" s="3">
        <v>59.92355079</v>
      </c>
      <c r="Q281" s="3">
        <v>1.778535765</v>
      </c>
    </row>
    <row r="282" spans="1:17">
      <c r="A282" t="s">
        <v>296</v>
      </c>
      <c r="B282" t="s">
        <v>253</v>
      </c>
      <c r="C282" s="3">
        <v>14.08532144</v>
      </c>
      <c r="D282" s="3">
        <v>5.391388568</v>
      </c>
      <c r="E282" s="3">
        <v>4.1279761989999999</v>
      </c>
      <c r="F282" s="3">
        <v>5.3694072820000001</v>
      </c>
      <c r="G282" s="3">
        <v>0.85017757900000002</v>
      </c>
      <c r="H282" s="3">
        <v>0.78452085800000004</v>
      </c>
      <c r="I282" s="3">
        <v>1.211750713</v>
      </c>
      <c r="J282" s="3">
        <v>13.58431364</v>
      </c>
      <c r="K282" s="3">
        <v>2.2365960469999999</v>
      </c>
      <c r="L282" s="3">
        <v>46.339237150000002</v>
      </c>
      <c r="M282" s="3">
        <f t="shared" si="9"/>
        <v>19.454728721999999</v>
      </c>
      <c r="N282" s="3">
        <f>D282+G282+K282+E282</f>
        <v>12.606138392999998</v>
      </c>
      <c r="O282" s="3">
        <f t="shared" si="10"/>
        <v>61.919822361000001</v>
      </c>
      <c r="P282" s="3">
        <v>59.92355079</v>
      </c>
      <c r="Q282" s="3">
        <v>1.778535765</v>
      </c>
    </row>
    <row r="283" spans="1:17">
      <c r="A283" t="s">
        <v>297</v>
      </c>
      <c r="B283" t="s">
        <v>253</v>
      </c>
      <c r="C283" s="3">
        <v>14.08532144</v>
      </c>
      <c r="D283" s="3">
        <v>5.391388568</v>
      </c>
      <c r="E283" s="3">
        <v>4.1279761989999999</v>
      </c>
      <c r="F283" s="3">
        <v>5.3694072820000001</v>
      </c>
      <c r="G283" s="3">
        <v>0.85017757900000002</v>
      </c>
      <c r="H283" s="3">
        <v>0.78452085800000004</v>
      </c>
      <c r="I283" s="3">
        <v>1.211750713</v>
      </c>
      <c r="J283" s="3">
        <v>13.58431364</v>
      </c>
      <c r="K283" s="3">
        <v>2.2365960469999999</v>
      </c>
      <c r="L283" s="3">
        <v>46.339237150000002</v>
      </c>
      <c r="M283" s="3">
        <f t="shared" si="9"/>
        <v>19.454728721999999</v>
      </c>
      <c r="N283" s="3">
        <f>D283+G283+K283+E283</f>
        <v>12.606138392999998</v>
      </c>
      <c r="O283" s="3">
        <f t="shared" si="10"/>
        <v>61.919822361000001</v>
      </c>
      <c r="P283" s="3">
        <v>59.92355079</v>
      </c>
      <c r="Q283" s="3">
        <v>1.778535765</v>
      </c>
    </row>
    <row r="284" spans="1:17">
      <c r="A284" t="s">
        <v>298</v>
      </c>
      <c r="B284" t="s">
        <v>253</v>
      </c>
      <c r="C284" s="3">
        <v>9.6174643209999999</v>
      </c>
      <c r="D284" s="3">
        <v>4.982332843</v>
      </c>
      <c r="E284" s="3">
        <v>2.939866775</v>
      </c>
      <c r="F284" s="3">
        <v>4.3011487739999996</v>
      </c>
      <c r="G284" s="3">
        <v>1.539117316</v>
      </c>
      <c r="H284" s="3">
        <v>0.42507312000000003</v>
      </c>
      <c r="I284" s="3">
        <v>0.98397095199999995</v>
      </c>
      <c r="J284" s="3">
        <v>13.4704757</v>
      </c>
      <c r="K284" s="3">
        <v>2.3363172560000001</v>
      </c>
      <c r="L284" s="3">
        <v>54.59957026</v>
      </c>
      <c r="M284" s="3">
        <f t="shared" si="9"/>
        <v>13.918613095</v>
      </c>
      <c r="N284" s="3">
        <f>D284+G284+K284+E284</f>
        <v>11.797634190000002</v>
      </c>
      <c r="O284" s="3">
        <f t="shared" si="10"/>
        <v>69.479090032000002</v>
      </c>
      <c r="P284" s="3">
        <v>68.070045960000002</v>
      </c>
      <c r="Q284" s="3">
        <v>2.523088268</v>
      </c>
    </row>
    <row r="285" spans="1:17">
      <c r="A285" t="s">
        <v>299</v>
      </c>
      <c r="B285" t="s">
        <v>253</v>
      </c>
      <c r="C285" s="3">
        <v>9.6174643209999999</v>
      </c>
      <c r="D285" s="3">
        <v>4.982332843</v>
      </c>
      <c r="E285" s="3">
        <v>2.939866775</v>
      </c>
      <c r="F285" s="3">
        <v>4.3011487739999996</v>
      </c>
      <c r="G285" s="3">
        <v>1.539117316</v>
      </c>
      <c r="H285" s="3">
        <v>0.42507312000000003</v>
      </c>
      <c r="I285" s="3">
        <v>0.98397095199999995</v>
      </c>
      <c r="J285" s="3">
        <v>13.4704757</v>
      </c>
      <c r="K285" s="3">
        <v>2.3363172560000001</v>
      </c>
      <c r="L285" s="3">
        <v>54.59957026</v>
      </c>
      <c r="M285" s="3">
        <f t="shared" si="9"/>
        <v>13.918613095</v>
      </c>
      <c r="N285" s="3">
        <f>D285+G285+K285+E285</f>
        <v>11.797634190000002</v>
      </c>
      <c r="O285" s="3">
        <f t="shared" si="10"/>
        <v>69.479090032000002</v>
      </c>
      <c r="P285" s="3">
        <v>68.070045960000002</v>
      </c>
      <c r="Q285" s="3">
        <v>2.523088268</v>
      </c>
    </row>
    <row r="286" spans="1:17">
      <c r="A286" t="s">
        <v>300</v>
      </c>
      <c r="B286" t="s">
        <v>253</v>
      </c>
      <c r="C286" s="3">
        <v>9.6174643209999999</v>
      </c>
      <c r="D286" s="3">
        <v>4.982332843</v>
      </c>
      <c r="E286" s="3">
        <v>2.939866775</v>
      </c>
      <c r="F286" s="3">
        <v>4.3011487739999996</v>
      </c>
      <c r="G286" s="3">
        <v>1.539117316</v>
      </c>
      <c r="H286" s="3">
        <v>0.42507312000000003</v>
      </c>
      <c r="I286" s="3">
        <v>0.98397095199999995</v>
      </c>
      <c r="J286" s="3">
        <v>13.4704757</v>
      </c>
      <c r="K286" s="3">
        <v>2.3363172560000001</v>
      </c>
      <c r="L286" s="3">
        <v>54.59957026</v>
      </c>
      <c r="M286" s="3">
        <f t="shared" si="9"/>
        <v>13.918613095</v>
      </c>
      <c r="N286" s="3">
        <f>D286+G286+K286+E286</f>
        <v>11.797634190000002</v>
      </c>
      <c r="O286" s="3">
        <f t="shared" si="10"/>
        <v>69.479090032000002</v>
      </c>
      <c r="P286" s="3">
        <v>68.070045960000002</v>
      </c>
      <c r="Q286" s="3">
        <v>2.523088268</v>
      </c>
    </row>
    <row r="287" spans="1:17">
      <c r="A287" t="s">
        <v>301</v>
      </c>
      <c r="B287" t="s">
        <v>253</v>
      </c>
      <c r="C287" s="3">
        <v>11.055355179999999</v>
      </c>
      <c r="D287" s="3">
        <v>5.6329464490000003</v>
      </c>
      <c r="E287" s="3">
        <v>4.1427094579999997</v>
      </c>
      <c r="F287" s="3">
        <v>6.0198004510000001</v>
      </c>
      <c r="G287" s="3">
        <v>0.94698391999999998</v>
      </c>
      <c r="H287" s="3">
        <v>0.70393483599999995</v>
      </c>
      <c r="I287" s="3">
        <v>0.16537791399999999</v>
      </c>
      <c r="J287" s="3">
        <v>11.0596242</v>
      </c>
      <c r="K287" s="3">
        <v>3.7181744179999998</v>
      </c>
      <c r="L287" s="3">
        <v>49.902158620000002</v>
      </c>
      <c r="M287" s="3">
        <f t="shared" si="9"/>
        <v>17.075155631000001</v>
      </c>
      <c r="N287" s="3">
        <f>D287+G287+K287+E287</f>
        <v>14.440814244999999</v>
      </c>
      <c r="O287" s="3">
        <f t="shared" si="10"/>
        <v>61.831095570000002</v>
      </c>
      <c r="P287" s="3">
        <v>60.961782820000003</v>
      </c>
      <c r="Q287" s="3">
        <v>1.1123618340000001</v>
      </c>
    </row>
    <row r="288" spans="1:17">
      <c r="A288" t="s">
        <v>302</v>
      </c>
      <c r="B288" t="s">
        <v>253</v>
      </c>
      <c r="C288" s="3">
        <v>11.055355179999999</v>
      </c>
      <c r="D288" s="3">
        <v>5.6329464490000003</v>
      </c>
      <c r="E288" s="3">
        <v>4.1427094579999997</v>
      </c>
      <c r="F288" s="3">
        <v>6.0198004510000001</v>
      </c>
      <c r="G288" s="3">
        <v>0.94698391999999998</v>
      </c>
      <c r="H288" s="3">
        <v>0.70393483599999995</v>
      </c>
      <c r="I288" s="3">
        <v>0.16537791399999999</v>
      </c>
      <c r="J288" s="3">
        <v>11.0596242</v>
      </c>
      <c r="K288" s="3">
        <v>3.7181744179999998</v>
      </c>
      <c r="L288" s="3">
        <v>49.902158620000002</v>
      </c>
      <c r="M288" s="3">
        <f t="shared" si="9"/>
        <v>17.075155631000001</v>
      </c>
      <c r="N288" s="3">
        <f>D288+G288+K288+E288</f>
        <v>14.440814244999999</v>
      </c>
      <c r="O288" s="3">
        <f t="shared" si="10"/>
        <v>61.831095570000002</v>
      </c>
      <c r="P288" s="3">
        <v>60.961782820000003</v>
      </c>
      <c r="Q288" s="3">
        <v>1.1123618340000001</v>
      </c>
    </row>
    <row r="289" spans="1:17">
      <c r="A289" t="s">
        <v>303</v>
      </c>
      <c r="B289" t="s">
        <v>253</v>
      </c>
      <c r="C289" s="3">
        <v>11.055355179999999</v>
      </c>
      <c r="D289" s="3">
        <v>5.6329464490000003</v>
      </c>
      <c r="E289" s="3">
        <v>4.1427094579999997</v>
      </c>
      <c r="F289" s="3">
        <v>6.0198004510000001</v>
      </c>
      <c r="G289" s="3">
        <v>0.94698391999999998</v>
      </c>
      <c r="H289" s="3">
        <v>0.70393483599999995</v>
      </c>
      <c r="I289" s="3">
        <v>0.16537791399999999</v>
      </c>
      <c r="J289" s="3">
        <v>11.0596242</v>
      </c>
      <c r="K289" s="3">
        <v>3.7181744179999998</v>
      </c>
      <c r="L289" s="3">
        <v>49.902158620000002</v>
      </c>
      <c r="M289" s="3">
        <f t="shared" si="9"/>
        <v>17.075155631000001</v>
      </c>
      <c r="N289" s="3">
        <f>D289+G289+K289+E289</f>
        <v>14.440814244999999</v>
      </c>
      <c r="O289" s="3">
        <f t="shared" si="10"/>
        <v>61.831095570000002</v>
      </c>
      <c r="P289" s="3">
        <v>60.961782820000003</v>
      </c>
      <c r="Q289" s="3">
        <v>1.1123618340000001</v>
      </c>
    </row>
    <row r="290" spans="1:17">
      <c r="A290" s="2"/>
      <c r="C290">
        <f t="shared" ref="C290:Q290" si="11">AVERAGE(C2:C289)</f>
        <v>12.03114203817189</v>
      </c>
      <c r="D290">
        <f t="shared" si="11"/>
        <v>7.4339979631614517</v>
      </c>
      <c r="E290">
        <f t="shared" si="11"/>
        <v>3.4554099150781288</v>
      </c>
      <c r="F290">
        <f t="shared" si="11"/>
        <v>8.0524496312552039</v>
      </c>
      <c r="G290">
        <f t="shared" si="11"/>
        <v>6.2945117289479207</v>
      </c>
      <c r="H290">
        <f t="shared" si="11"/>
        <v>1.0691461589531244</v>
      </c>
      <c r="I290">
        <f t="shared" si="11"/>
        <v>0.73132952610937485</v>
      </c>
      <c r="J290">
        <f t="shared" si="11"/>
        <v>9.9709582129843852</v>
      </c>
      <c r="K290">
        <f t="shared" si="11"/>
        <v>3.4877278995312526</v>
      </c>
      <c r="L290">
        <f t="shared" si="11"/>
        <v>41.186842254843803</v>
      </c>
      <c r="M290">
        <f t="shared" si="11"/>
        <v>20.083591669427086</v>
      </c>
      <c r="N290">
        <f>AVERAGE(N2:N289)</f>
        <v>20.671647506718763</v>
      </c>
      <c r="O290" s="3">
        <f t="shared" si="10"/>
        <v>52.95827615289069</v>
      </c>
      <c r="P290">
        <f t="shared" si="11"/>
        <v>51.274884645104159</v>
      </c>
      <c r="Q290">
        <f t="shared" si="11"/>
        <v>4.2173244537812522</v>
      </c>
    </row>
    <row r="291" spans="1:17">
      <c r="A291" s="1"/>
    </row>
    <row r="292" spans="1:17">
      <c r="A292" s="1"/>
    </row>
    <row r="293" spans="1:17">
      <c r="A293" s="1"/>
    </row>
    <row r="294" spans="1:17">
      <c r="A294" s="1"/>
    </row>
    <row r="295" spans="1:17">
      <c r="A295" s="1"/>
    </row>
    <row r="296" spans="1:17">
      <c r="A296" s="1"/>
    </row>
    <row r="297" spans="1:17">
      <c r="A297" s="1"/>
    </row>
    <row r="298" spans="1:17">
      <c r="A298" s="1"/>
    </row>
    <row r="299" spans="1:17">
      <c r="A299" s="1"/>
    </row>
    <row r="300" spans="1:17">
      <c r="A300" s="1"/>
    </row>
    <row r="301" spans="1:17">
      <c r="A301" s="1"/>
    </row>
    <row r="302" spans="1:17">
      <c r="A302" s="1"/>
    </row>
    <row r="303" spans="1:17">
      <c r="A303" s="1"/>
    </row>
    <row r="304" spans="1:17">
      <c r="A30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4561B16658346A5B217F7F5D7E874" ma:contentTypeVersion="16" ma:contentTypeDescription="Create a new document." ma:contentTypeScope="" ma:versionID="84d29c80b8bf56e9ce13236459204c73">
  <xsd:schema xmlns:xsd="http://www.w3.org/2001/XMLSchema" xmlns:xs="http://www.w3.org/2001/XMLSchema" xmlns:p="http://schemas.microsoft.com/office/2006/metadata/properties" xmlns:ns2="c80f007c-ae73-4061-93e6-65f757ec6a9d" xmlns:ns3="57e06149-5d0e-49dc-9fa1-18225dcee2cc" targetNamespace="http://schemas.microsoft.com/office/2006/metadata/properties" ma:root="true" ma:fieldsID="9f454e1749088b6f4e1216b70af818d5" ns2:_="" ns3:_="">
    <xsd:import namespace="c80f007c-ae73-4061-93e6-65f757ec6a9d"/>
    <xsd:import namespace="57e06149-5d0e-49dc-9fa1-18225dcee2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0f007c-ae73-4061-93e6-65f757ec6a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728a8d2-fce2-4ead-88e1-13feca9680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e06149-5d0e-49dc-9fa1-18225dcee2c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413933a-e339-4f8a-ab6d-14f60b61d205}" ma:internalName="TaxCatchAll" ma:showField="CatchAllData" ma:web="57e06149-5d0e-49dc-9fa1-18225dcee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0f007c-ae73-4061-93e6-65f757ec6a9d">
      <Terms xmlns="http://schemas.microsoft.com/office/infopath/2007/PartnerControls"/>
    </lcf76f155ced4ddcb4097134ff3c332f>
    <TaxCatchAll xmlns="57e06149-5d0e-49dc-9fa1-18225dcee2cc" xsi:nil="true"/>
  </documentManagement>
</p:properties>
</file>

<file path=customXml/itemProps1.xml><?xml version="1.0" encoding="utf-8"?>
<ds:datastoreItem xmlns:ds="http://schemas.openxmlformats.org/officeDocument/2006/customXml" ds:itemID="{2270B9A3-E227-4218-8EA1-C4B92D26BDDE}"/>
</file>

<file path=customXml/itemProps2.xml><?xml version="1.0" encoding="utf-8"?>
<ds:datastoreItem xmlns:ds="http://schemas.openxmlformats.org/officeDocument/2006/customXml" ds:itemID="{AB311594-45E5-4474-98B0-A596E38649FC}"/>
</file>

<file path=customXml/itemProps3.xml><?xml version="1.0" encoding="utf-8"?>
<ds:datastoreItem xmlns:ds="http://schemas.openxmlformats.org/officeDocument/2006/customXml" ds:itemID="{E99A9EB9-2600-491B-853F-6FF22CDB22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 Sun Chin</dc:creator>
  <cp:keywords/>
  <dc:description/>
  <cp:lastModifiedBy/>
  <cp:revision/>
  <dcterms:created xsi:type="dcterms:W3CDTF">2026-03-19T17:42:10Z</dcterms:created>
  <dcterms:modified xsi:type="dcterms:W3CDTF">2026-04-18T15:24:08Z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0x010100CED4561B16658346A5B217F7F5D7E874</vt:lpwstr>
  </property>
  <property fmtid="{D5CDD505-2E9C-101B-9397-08002B2CF9AE}" pid="3" name="MediaServiceImageTags">
    <vt:lpwstr/>
  </property>
</Properties>
</file>